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on 5.2" sheetId="1" r:id="rId4"/>
    <sheet state="visible" name="Lesson Report" sheetId="2" r:id="rId5"/>
  </sheets>
  <definedNames/>
  <calcPr/>
  <extLst>
    <ext uri="GoogleSheetsCustomDataVersion2">
      <go:sheetsCustomData xmlns:go="http://customooxmlschemas.google.com/" r:id="rId6" roundtripDataChecksum="IljtiiqLgI9t/TUcsTugovHzwwp7nkq6rgBfwlik/cw="/>
    </ext>
  </extLst>
</workbook>
</file>

<file path=xl/sharedStrings.xml><?xml version="1.0" encoding="utf-8"?>
<sst xmlns="http://schemas.openxmlformats.org/spreadsheetml/2006/main" count="372" uniqueCount="266">
  <si>
    <t>Moon 5.2 SYLLABUS</t>
  </si>
  <si>
    <t>Grade</t>
  </si>
  <si>
    <t>Moon 5</t>
  </si>
  <si>
    <t>LESSONS</t>
  </si>
  <si>
    <r>
      <rPr>
        <rFont val="Calibri"/>
        <b/>
        <i/>
        <color rgb="FFCC4125"/>
        <sz val="12.0"/>
      </rPr>
      <t xml:space="preserve">09/06: Bắt đầu Grapeseed
13/07: Chuyển hướng Ferris Wheel - Grapeseed lồng ghép vào Unit 
Project feed back form: </t>
    </r>
    <r>
      <rPr>
        <rFont val="Calibri"/>
        <b/>
        <i/>
        <color rgb="FF1155CC"/>
        <sz val="12.0"/>
        <u/>
      </rPr>
      <t>https://drive.google.com/file/d/1NxuA_X_KLeF6tdSjoVQp9Ene0A3Fk8L7/view?usp=drive_link</t>
    </r>
    <r>
      <rPr>
        <rFont val="Calibri"/>
        <b/>
        <i/>
        <color rgb="FFCC4125"/>
        <sz val="12.0"/>
      </rPr>
      <t xml:space="preserve"> </t>
    </r>
  </si>
  <si>
    <t>UNITS</t>
  </si>
  <si>
    <t xml:space="preserve">Student's book
 &amp; Activity's book pages 
</t>
  </si>
  <si>
    <t>DATES</t>
  </si>
  <si>
    <t>Vocabulary</t>
  </si>
  <si>
    <t>Student's book
 &amp; Activity's book PAGES</t>
  </si>
  <si>
    <t>CONTENTS</t>
  </si>
  <si>
    <t>Structures</t>
  </si>
  <si>
    <t>Lesson target</t>
  </si>
  <si>
    <t>Homework</t>
  </si>
  <si>
    <t>Lesson Target</t>
  </si>
  <si>
    <t>UNIT 1
HELLO</t>
  </si>
  <si>
    <t>- Characters: Mommy, Daddy, Mimi, Dylan, Ferris Wheel.
- Rules in class.
1. We listen to our teacher.
2. We sit nicely in class.
3. We speak English together.
4. We don’t fight each other.
5. We raise our hands.</t>
  </si>
  <si>
    <t>- Who's this? This is….
- What rule is it?
It's…..
- Hello. How are you? I'm sleepy.
- What color is it? It's….
- Hurry up! Here's your hat.
- Goodbye</t>
  </si>
  <si>
    <t>Students learn class rules and practice greetings. 
-Student can say “Who’s this?” and answer with “This is…”. 
They practice colors and saying goodbye.</t>
  </si>
  <si>
    <t>Language song
Vocabulary 1</t>
  </si>
  <si>
    <r>
      <rPr>
        <rFont val="Calibri"/>
        <color theme="1"/>
        <sz val="13.0"/>
      </rPr>
      <t xml:space="preserve">- Story: Hurry up, Mommy!
- Colors: blue, green, orange, pink, red, yellow.
</t>
    </r>
    <r>
      <rPr>
        <rFont val="Calibri"/>
        <b/>
        <color theme="1"/>
        <sz val="13.0"/>
      </rPr>
      <t>- Review rules in class</t>
    </r>
  </si>
  <si>
    <t>Students listen to the story “Hurry up, Mommy!”. 
Students practice colors and classroom rules. 
Students use “Hello, how are you?” and respond with feelings.</t>
  </si>
  <si>
    <t>Story animation
Vocabulary 2</t>
  </si>
  <si>
    <t>EXTRA BOOK
SMART PHONICS 2 + SPEAKING PROJECT</t>
  </si>
  <si>
    <t>8-11</t>
  </si>
  <si>
    <r>
      <rPr>
        <rFont val="Calibri"/>
        <b/>
        <color theme="1"/>
        <sz val="13.0"/>
      </rPr>
      <t>45 minutes</t>
    </r>
    <r>
      <rPr>
        <rFont val="Calibri"/>
        <color theme="1"/>
        <sz val="13.0"/>
      </rPr>
      <t xml:space="preserve"> Unit 1 - Short vowel a:
- ham, ram, dam, jam
- cap, lap, map, nap
- Review Unit 1 Vocabulary + Rules in class 
</t>
    </r>
    <r>
      <rPr>
        <rFont val="Calibri"/>
        <b/>
        <color theme="1"/>
        <sz val="13.0"/>
      </rPr>
      <t>40 minutes</t>
    </r>
    <r>
      <rPr>
        <rFont val="Calibri"/>
        <color theme="1"/>
        <sz val="13.0"/>
      </rPr>
      <t xml:space="preserve"> 
</t>
    </r>
    <r>
      <rPr>
        <rFont val="Calibri"/>
        <b/>
        <color rgb="FFFF0000"/>
        <sz val="13.0"/>
      </rPr>
      <t>Speaking Project:</t>
    </r>
    <r>
      <rPr>
        <rFont val="Calibri"/>
        <color theme="1"/>
        <sz val="13.0"/>
      </rPr>
      <t xml:space="preserve"> </t>
    </r>
    <r>
      <rPr>
        <rFont val="Calibri"/>
        <color rgb="FF1155CC"/>
        <sz val="13.0"/>
        <u/>
      </rPr>
      <t>https://docs.google.com/presentation/d/14hy_WdQHgBF2lefs4CUOuWl-QRGdtpvs/edit?usp=drive_link&amp;ouid=106692602941737424099&amp;rtpof=true&amp;sd=true</t>
    </r>
    <r>
      <rPr>
        <rFont val="Calibri"/>
        <color theme="1"/>
        <sz val="13.0"/>
      </rPr>
      <t xml:space="preserve"> </t>
    </r>
  </si>
  <si>
    <t>a and m make am
a and p make ap</t>
  </si>
  <si>
    <t>Students recognize and read short vowel a words (-am, -ap). 
Students blend sounds to form words. 
Students complete exercises to reinforce reading.</t>
  </si>
  <si>
    <t>EXTRA BOOK
SMART PHONICS 2</t>
  </si>
  <si>
    <t>12-19</t>
  </si>
  <si>
    <r>
      <rPr>
        <rFont val="Calibri"/>
        <b/>
        <color theme="1"/>
        <sz val="13.0"/>
      </rPr>
      <t>45 minutes</t>
    </r>
    <r>
      <rPr>
        <rFont val="Calibri"/>
        <color theme="1"/>
        <sz val="13.0"/>
      </rPr>
      <t xml:space="preserve"> Unit 2 - Short vowel a:
- can, fan, man, pan
- bat, cat, hat, mat
</t>
    </r>
    <r>
      <rPr>
        <rFont val="Calibri"/>
        <b/>
        <color theme="1"/>
        <sz val="13.0"/>
      </rPr>
      <t xml:space="preserve">40 minutes </t>
    </r>
    <r>
      <rPr>
        <rFont val="Calibri"/>
        <color theme="1"/>
        <sz val="13.0"/>
      </rPr>
      <t>Students do exercise in page 11-12 (Teacher corrects their exercise)</t>
    </r>
  </si>
  <si>
    <t>a and n make an
a and t make at</t>
  </si>
  <si>
    <t>Students practice short vowel a words (-an, -at). 
Students sound out and read simple CVC words. 
Students complete workbook exercises for accuracy.</t>
  </si>
  <si>
    <t>UNIT 2
SCHOOL</t>
  </si>
  <si>
    <t>- Acivities at school: Color, count, draw, paint, play, sing, dance, jump, run, think.</t>
  </si>
  <si>
    <t>- What is it? It's….
- What do you do at school?
I (draw) at school.</t>
  </si>
  <si>
    <t>Students learn school activities vocabulary. 
Students practice asking “What is it?” and “What do you do at school?”. 
Students answer using “I (draw) at school.”</t>
  </si>
  <si>
    <t>Vocabulary 1
Language song</t>
  </si>
  <si>
    <t>- Review activities at school
- Story: A new friend
- Story song: Katy Kangaroo
- Speaking: Watch a video</t>
  </si>
  <si>
    <t>- What do you do at school?
I …. at school.
- Do you want to…?
Yes, I do.
No, I don't. I want to…</t>
  </si>
  <si>
    <t>Students review school activities and listen to “A new friend”. 
Students sing the story song and watch a speaking video. 
Students practice “Do you want to…?”.</t>
  </si>
  <si>
    <t>Story animation
Story video
Vocabulary 2
Speaking video</t>
  </si>
  <si>
    <t>- Value: Being kind
- Extra words: Dance, play soccer, ride my bike, run, swim, walk
- Culture song: Go in and out the window</t>
  </si>
  <si>
    <t>- What exercise do you do?
I play soccer/….
- Do you want to play?
I like/ don't like….</t>
  </si>
  <si>
    <t>Students learn about kindness. 
Students extend vocabulary with exercise and play words. 
Students say likes/dislikes about activities.</t>
  </si>
  <si>
    <t>Value Story
Vocabulary 3</t>
  </si>
  <si>
    <t>4-19</t>
  </si>
  <si>
    <r>
      <rPr>
        <rFont val="Calibri"/>
        <b/>
        <color theme="1"/>
        <sz val="13.0"/>
      </rPr>
      <t xml:space="preserve">45 minutes </t>
    </r>
    <r>
      <rPr>
        <rFont val="Calibri"/>
        <color theme="1"/>
        <sz val="13.0"/>
      </rPr>
      <t xml:space="preserve">Review Short vowel a
- ham, ram, dam, jam
- cap, lap, map, nap
- can, fan, man, pan
- bat, cat, hat, mat
</t>
    </r>
    <r>
      <rPr>
        <rFont val="Calibri"/>
        <b/>
        <color theme="1"/>
        <sz val="13.0"/>
      </rPr>
      <t xml:space="preserve">40 minutes 
</t>
    </r>
    <r>
      <rPr>
        <rFont val="Calibri"/>
        <b/>
        <color rgb="FFFF0000"/>
        <sz val="13.0"/>
      </rPr>
      <t>Speaking Project:</t>
    </r>
    <r>
      <rPr>
        <rFont val="Calibri"/>
        <color theme="1"/>
        <sz val="13.0"/>
      </rPr>
      <t xml:space="preserve"> </t>
    </r>
    <r>
      <rPr>
        <rFont val="Calibri"/>
        <color rgb="FF1155CC"/>
        <sz val="13.0"/>
        <u/>
      </rPr>
      <t>https://docs.google.com/presentation/d/1FBvsdA4DrtKPKOJ-GmUSG4m5gonJVu_K/edit?usp=drive_link&amp;ouid=106692602941737424099&amp;rtpof=true&amp;sd=true</t>
    </r>
    <r>
      <rPr>
        <rFont val="Calibri"/>
        <color theme="1"/>
        <sz val="13.0"/>
      </rPr>
      <t xml:space="preserve"> </t>
    </r>
  </si>
  <si>
    <t>a and m make am
a and p make ap
a and n make an
a and t make at</t>
  </si>
  <si>
    <t>Students review short vowel a word families (-am, -ap, -an, -at). 
Students read and blend words fluently. 
Students practice with workbook exercises.</t>
  </si>
  <si>
    <t>No homework</t>
  </si>
  <si>
    <r>
      <rPr>
        <rFont val="Calibri"/>
        <b/>
        <color theme="1"/>
        <sz val="13.0"/>
      </rPr>
      <t xml:space="preserve">45 minutes </t>
    </r>
    <r>
      <rPr>
        <rFont val="Calibri"/>
        <color theme="1"/>
        <sz val="13.0"/>
      </rPr>
      <t xml:space="preserve">Unit 3 - short vowel e:
- bed, red, leg, egg
- hen, men, pen
</t>
    </r>
    <r>
      <rPr>
        <rFont val="Calibri"/>
        <b/>
        <color theme="1"/>
        <sz val="13.0"/>
      </rPr>
      <t xml:space="preserve">40 minutes </t>
    </r>
    <r>
      <rPr>
        <rFont val="Calibri"/>
        <color theme="1"/>
        <sz val="13.0"/>
      </rPr>
      <t>Students do exercise in page 16,17,18 (Teacher corrects their exercise)</t>
    </r>
  </si>
  <si>
    <t>e and d make ed
e and g make eg
e and n make en</t>
  </si>
  <si>
    <t>Students practice short vowel e words (-ed, -eg, -en). 
Students sound out words and match spelling to pictures. 
Students complete exercises</t>
  </si>
  <si>
    <r>
      <rPr>
        <rFont val="Calibri"/>
        <b/>
        <color theme="1"/>
        <sz val="13.0"/>
      </rPr>
      <t>45 minutes</t>
    </r>
    <r>
      <rPr>
        <rFont val="Calibri"/>
        <color theme="1"/>
        <sz val="13.0"/>
      </rPr>
      <t xml:space="preserve"> Unit 3 - short vowel e (review)
- bed, red, leg, egg
- hen, men, pen
Short vowel e - et
- jet, net, wet
</t>
    </r>
    <r>
      <rPr>
        <rFont val="Calibri"/>
        <b/>
        <color theme="1"/>
        <sz val="13.0"/>
      </rPr>
      <t>40 minutes</t>
    </r>
    <r>
      <rPr>
        <rFont val="Calibri"/>
        <color theme="1"/>
        <sz val="13.0"/>
      </rPr>
      <t xml:space="preserve"> Students do exercise in page 19,20 (Teacher corrects their exercise)</t>
    </r>
  </si>
  <si>
    <t>e and t make et</t>
  </si>
  <si>
    <t>Students review short vowel e words (-ed, -eg, -en, -et). 
Students practice reading fluency. 
Students consolidate with workbook pages.</t>
  </si>
  <si>
    <t>REVIEW + TEST</t>
  </si>
  <si>
    <t>- Review with school activites, letters and rules (30 mins)
- Speaking activity with videos</t>
  </si>
  <si>
    <t>Students review school activities, letters, and class rules. 
Students practice speaking with video prompts. 
Students take a short oral test.</t>
  </si>
  <si>
    <t>Culture song video
Language game</t>
  </si>
  <si>
    <t>UNIT 3
THE PARK</t>
  </si>
  <si>
    <t>- Things in park: bench, flowers, grass, merry-go-round, path, pond, seesaw, slide, swings, trees</t>
  </si>
  <si>
    <t>- There's a pond.
- There are trees.</t>
  </si>
  <si>
    <t>Students learn vocabulary for things in the park. 
Students practice using “There’s…” and “There are…”. 
Students describe the park scene.</t>
  </si>
  <si>
    <t>- Review things in park
- Story: Mimi's kite
- Story song: Fly the kite
- Speaking: Watch a video</t>
  </si>
  <si>
    <t>- There is (the pond).
- There are (the flowers).
- Is there (a slide)?
- Are there (swings)?</t>
  </si>
  <si>
    <t>Students listen to “Mimi’s kite” and sing “Fly the kite”. 
Students review park items and use questions “Is there…?” and “Are there…?”.</t>
  </si>
  <si>
    <t>Story animation
Story song video
Vocabulary 2</t>
  </si>
  <si>
    <t>- Value: Looking after the enviroment
- Extra words: flower, leaves, plant, roots, seed, sun, water
- Culture video: Little Red Riding Hood</t>
  </si>
  <si>
    <t>Students learn to care for the environment. 
Students expand vocabulary with plant words. 
Students watch a culture video and discuss.</t>
  </si>
  <si>
    <t>Speaking video
Value song
Vocabulary 3</t>
  </si>
  <si>
    <t>28-35</t>
  </si>
  <si>
    <r>
      <rPr>
        <rFont val="Calibri"/>
        <b/>
        <color theme="1"/>
        <sz val="13.0"/>
      </rPr>
      <t>45 minutes</t>
    </r>
    <r>
      <rPr>
        <rFont val="Calibri"/>
        <color theme="1"/>
        <sz val="13.0"/>
      </rPr>
      <t xml:space="preserve"> Unit 4 - short vowel i:
- bib, rib, lid, kid
- pig, wig, fin, pin
</t>
    </r>
    <r>
      <rPr>
        <rFont val="Calibri"/>
        <b/>
        <color theme="1"/>
        <sz val="13.0"/>
      </rPr>
      <t xml:space="preserve">40 minutes 
</t>
    </r>
    <r>
      <rPr>
        <rFont val="Calibri"/>
        <b/>
        <color rgb="FFFF0000"/>
        <sz val="13.0"/>
      </rPr>
      <t xml:space="preserve">Speaking Project: </t>
    </r>
    <r>
      <rPr>
        <rFont val="Calibri"/>
        <color rgb="FF1155CC"/>
        <sz val="13.0"/>
        <u/>
      </rPr>
      <t>https://docs.google.com/presentation/d/1u5n9KNGNCewcvyzMrXD1hqnWh_ypjVSK/edit?usp=drive_link&amp;ouid=106692602941737424099&amp;rtpof=true&amp;sd=true</t>
    </r>
    <r>
      <rPr>
        <rFont val="Calibri"/>
        <color theme="1"/>
        <sz val="13.0"/>
      </rPr>
      <t xml:space="preserve"> </t>
    </r>
  </si>
  <si>
    <t>i and b make ib
i and d make id
i and n make in
i and g make ig</t>
  </si>
  <si>
    <t>Students practice short vowel i words (-ib, -id, -in, -ig). 
Students sound out and read words. 
Students complete workbook exercises.</t>
  </si>
  <si>
    <t>36-45</t>
  </si>
  <si>
    <r>
      <rPr>
        <rFont val="Calibri"/>
        <b/>
        <color theme="1"/>
        <sz val="13.0"/>
      </rPr>
      <t>45 minutes</t>
    </r>
    <r>
      <rPr>
        <rFont val="Calibri"/>
        <color theme="1"/>
        <sz val="13.0"/>
      </rPr>
      <t xml:space="preserve"> Unit 5 - short vowel i:
- lip, rip, hit, sit
- six, mix
</t>
    </r>
    <r>
      <rPr>
        <rFont val="Calibri"/>
        <b/>
        <color theme="1"/>
        <sz val="13.0"/>
      </rPr>
      <t xml:space="preserve">40 minutes </t>
    </r>
    <r>
      <rPr>
        <rFont val="Calibri"/>
        <color theme="1"/>
        <sz val="13.0"/>
      </rPr>
      <t>Students do exercise in page 26,27,28 (Teacher corrects their exercise)</t>
    </r>
  </si>
  <si>
    <t>i and p make ip
i and t make it
i and x make ix</t>
  </si>
  <si>
    <t>Students practice short vowel i words (-ip, -it, -ix). 
Students blend sounds and read words. 
Students complete practice pages.</t>
  </si>
  <si>
    <t>28-44</t>
  </si>
  <si>
    <r>
      <rPr>
        <rFont val="Calibri"/>
        <b/>
        <color theme="1"/>
        <sz val="13.0"/>
      </rPr>
      <t>45 minutes</t>
    </r>
    <r>
      <rPr>
        <rFont val="Calibri"/>
        <color theme="1"/>
        <sz val="13.0"/>
      </rPr>
      <t xml:space="preserve"> Review Short vowel i
- bib, nib, lid, kid
- pin, wig, fin, pin
- lip, rip, hit, sit
- six, mix
</t>
    </r>
    <r>
      <rPr>
        <rFont val="Calibri"/>
        <b/>
        <color theme="1"/>
        <sz val="13.0"/>
      </rPr>
      <t>40 minutes</t>
    </r>
    <r>
      <rPr>
        <rFont val="Calibri"/>
        <color theme="1"/>
        <sz val="13.0"/>
      </rPr>
      <t xml:space="preserve"> Students do exercise in page 24, 25, 29, 30 (Teacher corrects their exercise)</t>
    </r>
  </si>
  <si>
    <t>i and b make ib
i and d make id
i and n make in
i and g make ig
i and p make ip
i and t make it
i and x make ix</t>
  </si>
  <si>
    <t>Students review i word families. 
They practice blending and reading. 
They complete review workbook pages.</t>
  </si>
  <si>
    <t>- Things in park: bench, flowers, graass, merry-go-round, path, pond, seesaw, slide, swings, trees
- Speaking activity with videos</t>
  </si>
  <si>
    <t>Students review park vocabulary and sentences. 
They practice “There is/There are” and yes/no questions. 
They do a speaking activity.</t>
  </si>
  <si>
    <t>Culture story video
Language game</t>
  </si>
  <si>
    <t>UNIT 4
WILD ANIMALS</t>
  </si>
  <si>
    <t>- Wild animals: elephant, giraffe, hippo, monkey, parrot, snake, tiger, zebra</t>
  </si>
  <si>
    <t>- What's that? It's a...
- It's (black and white).
- It's has big teeth.</t>
  </si>
  <si>
    <t>Students learn wild animal names. 
They practice “What’s that?” and describe animals. 
They say color and body parts.</t>
  </si>
  <si>
    <t>- Review wild animals
- Story: The surprise
- Story song: The party surprise
- Speaking: Watch a video</t>
  </si>
  <si>
    <t>- What's that? It's an...
- What are those? They're...
- It's has big teeth.
- They have big ears.</t>
  </si>
  <si>
    <t>Students listen to “The surprise” and sing the song. 
They practice singular and plural (“What’s that?/What are those?”).</t>
  </si>
  <si>
    <t>- Value: Saying "thank you"
- Extra words: claws, ears, eyes, fur, leg, nose, tail, whiskers.
- Culture song: Five Little Monkeys</t>
  </si>
  <si>
    <t>Students learn to say “thank you”. 
They learn extra body parts words. 
They watch and sing “Five Little Monkeys”.</t>
  </si>
  <si>
    <t>52-59</t>
  </si>
  <si>
    <r>
      <rPr>
        <rFont val="Calibri"/>
        <b/>
        <color theme="1"/>
        <sz val="13.0"/>
      </rPr>
      <t>45 minutes</t>
    </r>
    <r>
      <rPr>
        <rFont val="Calibri"/>
        <color theme="1"/>
        <sz val="13.0"/>
      </rPr>
      <t xml:space="preserve">  Unit 6 - short vowel o:
- dog, jog, log
- hop, mop, top
- pot, hot, dot
- box, fox, ox
</t>
    </r>
    <r>
      <rPr>
        <rFont val="Calibri"/>
        <b/>
        <color theme="1"/>
        <sz val="13.0"/>
      </rPr>
      <t xml:space="preserve">40 minutes: 
</t>
    </r>
    <r>
      <rPr>
        <rFont val="Calibri"/>
        <b/>
        <color rgb="FFFF0000"/>
        <sz val="13.0"/>
      </rPr>
      <t>Speaking Project:</t>
    </r>
    <r>
      <rPr>
        <rFont val="Calibri"/>
        <color theme="1"/>
        <sz val="13.0"/>
      </rPr>
      <t xml:space="preserve"> </t>
    </r>
    <r>
      <rPr>
        <rFont val="Calibri"/>
        <color rgb="FF1155CC"/>
        <sz val="13.0"/>
        <u/>
      </rPr>
      <t>https://docs.google.com/presentation/d/1D3I6U1JXiyBvo3r8yaacKN2WqaFKaiu8/edit?slide=id.p1#slide=id.p1</t>
    </r>
    <r>
      <rPr>
        <rFont val="Calibri"/>
        <color theme="1"/>
        <sz val="13.0"/>
      </rPr>
      <t xml:space="preserve"> </t>
    </r>
  </si>
  <si>
    <t>o and g make og
o and p make op
o and t make ot
o and x make ox</t>
  </si>
  <si>
    <t>Students practice short vowel o words (-og, -op, -ot, -ox). 
They read and blend sounds.
 They do exercises for accuracy.</t>
  </si>
  <si>
    <r>
      <rPr>
        <rFont val="Calibri"/>
        <b/>
        <color theme="1"/>
        <sz val="13.0"/>
      </rPr>
      <t>45 minutes</t>
    </r>
    <r>
      <rPr>
        <rFont val="Calibri"/>
        <color theme="1"/>
        <sz val="13.0"/>
      </rPr>
      <t xml:space="preserve"> Review Short vowel o
- dog, jog, log
- hop, mop, top
</t>
    </r>
    <r>
      <rPr>
        <rFont val="Calibri"/>
        <b/>
        <color theme="1"/>
        <sz val="13.0"/>
      </rPr>
      <t>40 minutes</t>
    </r>
    <r>
      <rPr>
        <rFont val="Calibri"/>
        <color theme="1"/>
        <sz val="13.0"/>
      </rPr>
      <t xml:space="preserve"> Students do exercise in page 38,39 (Teacher corrects their exercise)</t>
    </r>
  </si>
  <si>
    <t>o and g make og
o and p make op</t>
  </si>
  <si>
    <t>Students review o words (-og, -op). 
They read fluently. 
They complete workbook pages.</t>
  </si>
  <si>
    <r>
      <rPr>
        <rFont val="Calibri"/>
        <b/>
        <color theme="1"/>
        <sz val="13.0"/>
      </rPr>
      <t xml:space="preserve">45 minutes </t>
    </r>
    <r>
      <rPr>
        <rFont val="Calibri"/>
        <color theme="1"/>
        <sz val="13.0"/>
      </rPr>
      <t xml:space="preserve"> Review Short vowel o
- pot, hot, dot
- box, fox, ox
</t>
    </r>
    <r>
      <rPr>
        <rFont val="Calibri"/>
        <b/>
        <color theme="1"/>
        <sz val="13.0"/>
      </rPr>
      <t>40 minutes</t>
    </r>
    <r>
      <rPr>
        <rFont val="Calibri"/>
        <color theme="1"/>
        <sz val="13.0"/>
      </rPr>
      <t xml:space="preserve"> Students do exercise in page 40 (Teacher corrects their exercise)</t>
    </r>
  </si>
  <si>
    <t>o and t make ot
o and x make ox</t>
  </si>
  <si>
    <t>Students review o words (-ot, -ox). 
They sound out and write words. 
They complete practice pages.</t>
  </si>
  <si>
    <t>- Quick review with wild animals and letters (30 mins)
- Speaking activity with videos</t>
  </si>
  <si>
    <t>Students review wild animals and letters. 
They describe animals in speaking practice. 
They complete a short test.</t>
  </si>
  <si>
    <t>UNIT 5
DAILY ROUTINES</t>
  </si>
  <si>
    <t>- Daily routines: brush my hair/teeth, get dressed, get up, have breakfast/lunch/dinner, take a shower, wash my face/hands</t>
  </si>
  <si>
    <t>I (have lunch).
I (take a shower).</t>
  </si>
  <si>
    <t>Students learn daily routine actions. 
They say sentences like “I get up/I have lunch”. 
They practice short conversations.</t>
  </si>
  <si>
    <t>- Review daily routines
- Story: Giant Joe
- Story song: Giant Joe's day
- Speaking: Watch a video</t>
  </si>
  <si>
    <t>- I (brush my hair).
- Do you (wash your face)?
+ Yes, I do.
+ No, I don't.</t>
  </si>
  <si>
    <t>Students review daily routines with “Giant Joe”. 
They sing the story song. 
They practice yes/no questions about routines.</t>
  </si>
  <si>
    <t>- Value: Saying "having a daily routine"
- Extra words: faucet, soap, towel, water, clean.
- Culture song: Goldilocks and the three bear.</t>
  </si>
  <si>
    <t>- I wash my hands with soap.
- I clean my hands with towel.</t>
  </si>
  <si>
    <t>Students learn about having routines. 
They learn extra hygiene words. 
They say “I wash/clean my hands with…”.</t>
  </si>
  <si>
    <t>60-67</t>
  </si>
  <si>
    <r>
      <rPr>
        <rFont val="Calibri"/>
        <b/>
        <color theme="1"/>
        <sz val="13.0"/>
      </rPr>
      <t xml:space="preserve">45 minutes </t>
    </r>
    <r>
      <rPr>
        <rFont val="Calibri"/>
        <color theme="1"/>
        <sz val="13.0"/>
      </rPr>
      <t xml:space="preserve">Unit 7 - short vowel u:
- bug, hug, jug, rug
- cup, pup, up
</t>
    </r>
    <r>
      <rPr>
        <rFont val="Calibri"/>
        <b/>
        <color theme="1"/>
        <sz val="13.0"/>
      </rPr>
      <t>40 minutes</t>
    </r>
    <r>
      <rPr>
        <rFont val="Calibri"/>
        <color theme="1"/>
        <sz val="13.0"/>
      </rPr>
      <t xml:space="preserve"> Students do exercise in page 41,42,43 (Teacher corrects their exercise)</t>
    </r>
  </si>
  <si>
    <t>u and g make ug
u and p make up</t>
  </si>
  <si>
    <t>Students practice u words (-ug, -up). 
They blend and read words.
 They complete workbook exercises.</t>
  </si>
  <si>
    <t>68-75</t>
  </si>
  <si>
    <r>
      <rPr>
        <rFont val="Calibri"/>
        <b/>
        <color theme="1"/>
        <sz val="13.0"/>
      </rPr>
      <t xml:space="preserve">45 minutes </t>
    </r>
    <r>
      <rPr>
        <rFont val="Calibri"/>
        <color theme="1"/>
        <sz val="13.0"/>
      </rPr>
      <t xml:space="preserve">Unit 8 - short vowel u:
- sun, bun, run, gun
- nut, hut, cut
</t>
    </r>
    <r>
      <rPr>
        <rFont val="Calibri"/>
        <b/>
        <color theme="1"/>
        <sz val="13.0"/>
      </rPr>
      <t xml:space="preserve">40 minutes 
</t>
    </r>
    <r>
      <rPr>
        <rFont val="Calibri"/>
        <b/>
        <color rgb="FFFF0000"/>
        <sz val="13.0"/>
      </rPr>
      <t>Speaking Project:</t>
    </r>
    <r>
      <rPr>
        <rFont val="Calibri"/>
        <color theme="1"/>
        <sz val="13.0"/>
      </rPr>
      <t xml:space="preserve"> </t>
    </r>
    <r>
      <rPr>
        <rFont val="Calibri"/>
        <color rgb="FF1155CC"/>
        <sz val="13.0"/>
        <u/>
      </rPr>
      <t>https://docs.google.com/presentation/d/1wlf0i0TbC4ctjmEVqkbkbbYwnzsxUmQS/edit?usp=drive_link&amp;ouid=106692602941737424099&amp;rtpof=true&amp;sd=true</t>
    </r>
    <r>
      <rPr>
        <rFont val="Calibri"/>
        <color theme="1"/>
        <sz val="13.0"/>
      </rPr>
      <t xml:space="preserve"> </t>
    </r>
  </si>
  <si>
    <t>u and n make un
u and t make ut</t>
  </si>
  <si>
    <t>Students practice u words (-un, -ut). 
They read fluently. 
They complete workbook practice.</t>
  </si>
  <si>
    <t>REVIEW</t>
  </si>
  <si>
    <t>Unit 1-2-3</t>
  </si>
  <si>
    <t xml:space="preserve">- Colors: blue, green, orange, pink, red, yellow.
- Rules in class.
1. We listen to our teacher.
2. We sit nicely in class.
3. We speak English together.
4. We don’t fight each other.
5. We raise our hands."
- Acivities at school: Color, count, draw, paint, play, sing, dance, jump, run, think.
</t>
  </si>
  <si>
    <r>
      <rPr>
        <rFont val="Calibri"/>
        <b/>
        <color theme="1"/>
        <sz val="13.0"/>
      </rPr>
      <t>Unit 1:</t>
    </r>
    <r>
      <rPr>
        <rFont val="Calibri"/>
        <color theme="1"/>
        <sz val="13.0"/>
      </rPr>
      <t xml:space="preserve"> - Who's this? This is….
- What rule is it?
It's…..
- Hello. How are you? I'm sleepy.
- What color is it? It's….
- Hurry up! Here's your hat.
- Goodbye
</t>
    </r>
    <r>
      <rPr>
        <rFont val="Calibri"/>
        <b/>
        <color theme="1"/>
        <sz val="13.0"/>
      </rPr>
      <t>Unit 2:</t>
    </r>
    <r>
      <rPr>
        <rFont val="Calibri"/>
        <color theme="1"/>
        <sz val="13.0"/>
      </rPr>
      <t xml:space="preserve"> - What do you do at school?
I …. at school.
- Do you want to…?
Yes, I do.
No, I don't. I want to…
</t>
    </r>
    <r>
      <rPr>
        <rFont val="Calibri"/>
        <b/>
        <color theme="1"/>
        <sz val="13.0"/>
      </rPr>
      <t xml:space="preserve">Unit 3: </t>
    </r>
    <r>
      <rPr>
        <rFont val="Calibri"/>
        <color theme="1"/>
        <sz val="13.0"/>
      </rPr>
      <t>- There is (the pond).
- There are (the flowers).
- Is there (a slide)?
- Are there (swings)?"</t>
    </r>
  </si>
  <si>
    <t>Students review learned units. 
They practice speaking and listening with games. 
They consolidate target sentences.</t>
  </si>
  <si>
    <t>Unit 2-3</t>
  </si>
  <si>
    <t>60-74</t>
  </si>
  <si>
    <r>
      <rPr>
        <rFont val="Calibri"/>
        <b/>
        <color theme="1"/>
        <sz val="13.0"/>
      </rPr>
      <t>45 minutes</t>
    </r>
    <r>
      <rPr>
        <rFont val="Calibri"/>
        <color theme="1"/>
        <sz val="13.0"/>
      </rPr>
      <t xml:space="preserve"> Review Short vowel u
- bug, hug, jug, rug
- cup, pup, up
- sun, bun, run, gun
- nut, hut, cut
</t>
    </r>
    <r>
      <rPr>
        <rFont val="Calibri"/>
        <b/>
        <color theme="1"/>
        <sz val="13.0"/>
      </rPr>
      <t>40 minutes</t>
    </r>
    <r>
      <rPr>
        <rFont val="Calibri"/>
        <color theme="1"/>
        <sz val="13.0"/>
      </rPr>
      <t xml:space="preserve"> Students do exercise in page 44-45, 49-50 (Teacher corrects their exercise)</t>
    </r>
  </si>
  <si>
    <t>u and g make ug
u and p make up
u and n make un
u and t make ut</t>
  </si>
  <si>
    <t>Students review u words (-ug, -up, -un, -ut). 
They practice fluency and accuracy. 
They do workbook review.</t>
  </si>
  <si>
    <t>Unit 4,5</t>
  </si>
  <si>
    <r>
      <rPr>
        <rFont val="Calibri"/>
        <b/>
        <color theme="1"/>
        <sz val="13.0"/>
      </rPr>
      <t>Unit 4:</t>
    </r>
    <r>
      <rPr>
        <rFont val="Calibri"/>
        <color theme="1"/>
        <sz val="13.0"/>
      </rPr>
      <t xml:space="preserve"> Wild animals: elephant, giraffe, hippo, monkey, parrot, snake, tiger, zebra
</t>
    </r>
    <r>
      <rPr>
        <rFont val="Calibri"/>
        <b/>
        <color theme="1"/>
        <sz val="13.0"/>
      </rPr>
      <t>Unit 5</t>
    </r>
    <r>
      <rPr>
        <rFont val="Calibri"/>
        <color theme="1"/>
        <sz val="13.0"/>
      </rPr>
      <t xml:space="preserve">:  Daily routines: brush my hair/teeth, get dressed, get up, have breakfast/lunch/dinner, take a shower, wash my face/hands
</t>
    </r>
  </si>
  <si>
    <r>
      <rPr>
        <rFont val="Calibri"/>
        <b/>
        <color theme="1"/>
        <sz val="13.0"/>
      </rPr>
      <t xml:space="preserve">Unit 4: </t>
    </r>
    <r>
      <rPr>
        <rFont val="Calibri"/>
        <color theme="1"/>
        <sz val="13.0"/>
      </rPr>
      <t xml:space="preserve">"- What's that? It's a...
- It's (black and white).
- It's has big teeth."
</t>
    </r>
    <r>
      <rPr>
        <rFont val="Calibri"/>
        <b/>
        <color theme="1"/>
        <sz val="13.0"/>
      </rPr>
      <t>Unit 5</t>
    </r>
    <r>
      <rPr>
        <rFont val="Calibri"/>
        <color theme="1"/>
        <sz val="13.0"/>
      </rPr>
      <t>: "I (have lunch).
I (take a shower)."
"- I (brush my hair).
- Do you (wash your face)?
+ Yes, I do.
+ No, I don't."</t>
    </r>
  </si>
  <si>
    <t>Students practice topics from past units. 
They strengthen speaking and vocabulary. 
They prepare for tests.</t>
  </si>
  <si>
    <t>Unit 4-5</t>
  </si>
  <si>
    <t>44-48</t>
  </si>
  <si>
    <r>
      <rPr>
        <rFont val="Calibri"/>
        <b/>
        <color theme="1"/>
        <sz val="13.0"/>
      </rPr>
      <t>45 minutes</t>
    </r>
    <r>
      <rPr>
        <rFont val="Calibri"/>
        <color theme="1"/>
        <sz val="13.0"/>
      </rPr>
      <t xml:space="preserve"> Review 1: short vowels a/e/i
</t>
    </r>
    <r>
      <rPr>
        <rFont val="Calibri"/>
        <b/>
        <color theme="1"/>
        <sz val="13.0"/>
      </rPr>
      <t xml:space="preserve">40 minutes </t>
    </r>
    <r>
      <rPr>
        <rFont val="Calibri"/>
        <color theme="1"/>
        <sz val="13.0"/>
      </rPr>
      <t>Students do exercise in page 31-35 (Teacher corrects their exercise)</t>
    </r>
  </si>
  <si>
    <t>Students review short vowels a/e/i. 
They practice reading and spelling.
 They complete review pages.</t>
  </si>
  <si>
    <t>76-83</t>
  </si>
  <si>
    <r>
      <rPr>
        <rFont val="Calibri"/>
        <b/>
        <color theme="1"/>
        <sz val="13.0"/>
      </rPr>
      <t>45 minutes</t>
    </r>
    <r>
      <rPr>
        <rFont val="Calibri"/>
        <color theme="1"/>
        <sz val="13.0"/>
      </rPr>
      <t xml:space="preserve"> Review 2: short vowels o/u
</t>
    </r>
    <r>
      <rPr>
        <rFont val="Calibri"/>
        <b/>
        <color theme="1"/>
        <sz val="13.0"/>
      </rPr>
      <t xml:space="preserve">40 minutes </t>
    </r>
    <r>
      <rPr>
        <rFont val="Calibri"/>
        <color theme="1"/>
        <sz val="13.0"/>
      </rPr>
      <t>Students do exercise in page 51-55 (Teacher corrects their exercise)</t>
    </r>
  </si>
  <si>
    <t>Students review short vowels o/u. 
They practice reading fluently. 
They complete workbook exercises.</t>
  </si>
  <si>
    <t>MID-TERM</t>
  </si>
  <si>
    <r>
      <rPr>
        <rFont val="Calibri"/>
        <b/>
        <color theme="1"/>
        <sz val="13.0"/>
      </rPr>
      <t>MID-TERM SPEAKING TEST</t>
    </r>
    <r>
      <rPr>
        <rFont val="Calibri"/>
        <color theme="1"/>
        <sz val="13.0"/>
      </rPr>
      <t xml:space="preserve">
(Teachers prepare worksheet for students in class)</t>
    </r>
  </si>
  <si>
    <t>Students do a speaking test with teacher. 
They review vocabulary and sentences from Units 1–5.</t>
  </si>
  <si>
    <r>
      <rPr>
        <rFont val="Calibri"/>
        <b/>
        <color theme="1"/>
        <sz val="13.0"/>
      </rPr>
      <t>MID-TERM SPEAKING TEST</t>
    </r>
    <r>
      <rPr>
        <rFont val="Calibri"/>
        <color theme="1"/>
        <sz val="13.0"/>
      </rPr>
      <t xml:space="preserve">
(Teachers prepare worksheet for students in class)</t>
    </r>
  </si>
  <si>
    <t>Students continue mid-term speaking test. 
They demonstrate vocabulary and phonics.</t>
  </si>
  <si>
    <t>UNIT 6
MEALS</t>
  </si>
  <si>
    <t>- Food: chicken, fish, pancakes, pizza, rice, salad, soup, spaghetti, toast, yogurt.
- Meal: breakfast, lunch, dinner</t>
  </si>
  <si>
    <t>- What is it? It's....
- What do you have for (dinner)?
I have (soup).</t>
  </si>
  <si>
    <t>Students learn food and meal words. 
They practice “What is it?” and “What do you have for dinner?”.</t>
  </si>
  <si>
    <t>- Review food and meals
- Story: Toast, toast toast!
- Story song: The toast song
- Speaking: Watch a video</t>
  </si>
  <si>
    <t>- Do you want (chicken)?
+ Yes, please./ No, thank you.
- I want (toast).
- I don't want (chicken).</t>
  </si>
  <si>
    <t>Students listen to “Toast, toast, toast!”. 
They practice “Do you want…?” and polite answers. 
They say “I want/I don’t want…”.</t>
  </si>
  <si>
    <t>- Value: Willingness to try food
- Extra words: fruit, vegetables, candy, carrots, chips, cupcakes, peas, plum, tomatoes 
- Culture song: Mix a pancake.</t>
  </si>
  <si>
    <t>- (Plums) are good for you.
- (Candy) isn't good for you.</t>
  </si>
  <si>
    <t>Students learn willingness to try food. 
They learn extra food words. 
They say “(Food) is good for you / isn’t good for you”.</t>
  </si>
  <si>
    <t>EXTRA BOOK
SMART PHONICS 3 + SPEAKING PROJECT</t>
  </si>
  <si>
    <r>
      <rPr>
        <rFont val="Calibri"/>
        <b/>
        <i/>
        <color theme="1"/>
        <sz val="11.0"/>
      </rPr>
      <t xml:space="preserve">45 minutes </t>
    </r>
    <r>
      <rPr>
        <rFont val="Calibri"/>
        <color theme="1"/>
        <sz val="13.0"/>
      </rPr>
      <t xml:space="preserve">Unit 1 -  long vowel a:
- cake, lake, rake, bake
- tape, cape, cave, wave
</t>
    </r>
    <r>
      <rPr>
        <rFont val="Calibri"/>
        <b/>
        <i/>
        <color theme="1"/>
        <sz val="11.0"/>
      </rPr>
      <t xml:space="preserve">40 minutes 
</t>
    </r>
    <r>
      <rPr>
        <rFont val="Calibri"/>
        <b/>
        <color rgb="FFFF0000"/>
        <sz val="13.0"/>
      </rPr>
      <t>Speaking Project:</t>
    </r>
    <r>
      <rPr>
        <rFont val="Calibri"/>
        <color theme="1"/>
        <sz val="13.0"/>
      </rPr>
      <t xml:space="preserve"> </t>
    </r>
    <r>
      <rPr>
        <rFont val="Calibri"/>
        <color rgb="FF1155CC"/>
        <sz val="13.0"/>
        <u/>
      </rPr>
      <t>https://docs.google.com/presentation/d/1-xjLuoxeSj7pNY6G7Emlnm1d2GKxTHNR/edit?usp=drive_link&amp;ouid=106692602941737424099&amp;rtpof=true&amp;sd=true</t>
    </r>
    <r>
      <rPr>
        <rFont val="Calibri"/>
        <color theme="1"/>
        <sz val="13.0"/>
      </rPr>
      <t xml:space="preserve"> </t>
    </r>
  </si>
  <si>
    <t>Tape has the long a sound
cake has the long a sound</t>
  </si>
  <si>
    <t>Students practice long a words (-ake, -ape). 
They blend and read words. 
They complete workbook practice.</t>
  </si>
  <si>
    <t>EXTRA BOOK
SMART PHONICS 3</t>
  </si>
  <si>
    <t>16-18</t>
  </si>
  <si>
    <r>
      <rPr>
        <rFont val="Calibri"/>
        <b/>
        <i/>
        <color theme="1"/>
        <sz val="11.0"/>
      </rPr>
      <t>45 minutes</t>
    </r>
    <r>
      <rPr>
        <rFont val="Calibri"/>
        <color theme="1"/>
        <sz val="13.0"/>
      </rPr>
      <t xml:space="preserve"> Unit 2 -  long vowel a:
- name, game, gate, date
- cane, mane, vase, case
</t>
    </r>
    <r>
      <rPr>
        <rFont val="Calibri"/>
        <b/>
        <i/>
        <color theme="1"/>
        <sz val="11.0"/>
      </rPr>
      <t xml:space="preserve">40 minutes </t>
    </r>
    <r>
      <rPr>
        <rFont val="Calibri"/>
        <color theme="1"/>
        <sz val="13.0"/>
      </rPr>
      <t>Students do exercise in page 18-20 (Teacher corrects their exercise)</t>
    </r>
  </si>
  <si>
    <t>Name has the long a sound
Mane has the long a sound</t>
  </si>
  <si>
    <t>Students practice long a words (-ame, -ane). 
They read words and complete pages.</t>
  </si>
  <si>
    <r>
      <rPr>
        <rFont val="Calibri"/>
        <b/>
        <i/>
        <color theme="1"/>
        <sz val="12.0"/>
      </rPr>
      <t>45 minutes</t>
    </r>
    <r>
      <rPr>
        <rFont val="Calibri"/>
        <color theme="1"/>
        <sz val="13.0"/>
      </rPr>
      <t xml:space="preserve"> Review long vowel a (Unit 1)
- Read along the story page 13,14
</t>
    </r>
    <r>
      <rPr>
        <rFont val="Calibri"/>
        <b/>
        <i/>
        <color theme="1"/>
        <sz val="13.0"/>
      </rPr>
      <t>45 minutest</t>
    </r>
    <r>
      <rPr>
        <rFont val="Calibri"/>
        <color theme="1"/>
        <sz val="13.0"/>
      </rPr>
      <t xml:space="preserve"> Review long vowel a (Unit 2)
- Read along the story page 21,22
</t>
    </r>
  </si>
  <si>
    <t>Tape has the long a sound
cake has the long a sound
Name has the long a sound
Mane has the long a sound</t>
  </si>
  <si>
    <t>Students read stories with long a words. 
They practice fluency. They consolidate spelling.</t>
  </si>
  <si>
    <t>- Quick review town words and letters (30 mins)
- Speaking activity with videos.</t>
  </si>
  <si>
    <t>Students review food and meals. 
They practice speaking with videos. 
They complete a short test.</t>
  </si>
  <si>
    <t>UNIT 7
TOWN</t>
  </si>
  <si>
    <t>Town: bookstore, mall, movie  theater, park, restaurant, supermarket, swimming pool, zoo</t>
  </si>
  <si>
    <t>- Where is it? It's....
- Do you want to go to (the zoo)?
+ Yes./No.</t>
  </si>
  <si>
    <t>Students learn town vocabulary. 
They practice “Where is it?” and “Do you want to go to…?”.</t>
  </si>
  <si>
    <t>- Review town words
- Story: A day out
- Story song: Dinasours in space
- Speaking: Watch a video</t>
  </si>
  <si>
    <t>- Let's go to (the mall).
- I want to go to (the museum).</t>
  </si>
  <si>
    <t>Students listen to “A day out” and sing. 
They practice “Let’s go to/I want to go to…”.</t>
  </si>
  <si>
    <t>- Value: Interest in learning
- Extra words: cars, crosswalk, sidewalk, stoplights, street
- Culture story: The enormous carrot</t>
  </si>
  <si>
    <t>The (stoplights) are (red).
We walk on the sidewalk.
We cross the street on the crosswalk.</t>
  </si>
  <si>
    <t>Students learn about interest in learning.
 They expand with street and traffic words. 
They practice using them in sentences.</t>
  </si>
  <si>
    <t>24-27</t>
  </si>
  <si>
    <r>
      <rPr>
        <rFont val="Calibri"/>
        <b/>
        <i/>
        <color theme="1"/>
        <sz val="13.0"/>
      </rPr>
      <t xml:space="preserve">45 minutes </t>
    </r>
    <r>
      <rPr>
        <rFont val="Calibri"/>
        <color theme="1"/>
        <sz val="13.0"/>
      </rPr>
      <t xml:space="preserve">Unit 3 -  long vowel i:
- nine, pine, line, vine
- time, lime, bike, hike
</t>
    </r>
    <r>
      <rPr>
        <rFont val="Calibri"/>
        <b/>
        <i/>
        <color theme="1"/>
        <sz val="13.0"/>
      </rPr>
      <t>40 minutes</t>
    </r>
    <r>
      <rPr>
        <rFont val="Calibri"/>
        <color theme="1"/>
        <sz val="13.0"/>
      </rPr>
      <t xml:space="preserve"> 
</t>
    </r>
    <r>
      <rPr>
        <rFont val="Calibri"/>
        <b/>
        <color rgb="FFFF0000"/>
        <sz val="13.0"/>
      </rPr>
      <t>Speaking Project</t>
    </r>
    <r>
      <rPr>
        <rFont val="Calibri"/>
        <color theme="1"/>
        <sz val="13.0"/>
      </rPr>
      <t xml:space="preserve">: </t>
    </r>
    <r>
      <rPr>
        <rFont val="Calibri"/>
        <color rgb="FF1155CC"/>
        <sz val="13.0"/>
        <u/>
      </rPr>
      <t>https://docs.google.com/presentation/d/1ORSMSnCSW0nonOHU5naszOMBkEJegojI/edit?usp=drive_link&amp;ouid=106692602941737424099&amp;rtpof=true&amp;sd=true</t>
    </r>
    <r>
      <rPr>
        <rFont val="Calibri"/>
        <color theme="1"/>
        <sz val="13.0"/>
      </rPr>
      <t xml:space="preserve"> </t>
    </r>
  </si>
  <si>
    <t>Nine has the long i sound
Time has the long i sound</t>
  </si>
  <si>
    <t>Students practice long i words (-ine, -ime). 
They blend and read words. 
They complete workbook practice.</t>
  </si>
  <si>
    <t>32-35</t>
  </si>
  <si>
    <r>
      <rPr>
        <rFont val="Calibri"/>
        <b/>
        <i/>
        <color theme="1"/>
        <sz val="13.0"/>
      </rPr>
      <t>45 minutes</t>
    </r>
    <r>
      <rPr>
        <rFont val="Calibri"/>
        <color theme="1"/>
        <sz val="13.0"/>
      </rPr>
      <t xml:space="preserve"> Unit 4 -  long vowel i:
- fire, tire, five, dive
- pipe, wipe, bite, kite
</t>
    </r>
    <r>
      <rPr>
        <rFont val="Calibri"/>
        <b/>
        <i/>
        <color theme="1"/>
        <sz val="13.0"/>
      </rPr>
      <t>40 minutes</t>
    </r>
    <r>
      <rPr>
        <rFont val="Calibri"/>
        <color theme="1"/>
        <sz val="13.0"/>
      </rPr>
      <t xml:space="preserve"> Students do exercise in page 34-36 (Teacher corrects their exercise)</t>
    </r>
  </si>
  <si>
    <t>Five has the long i sound
Pipe has the long i sound</t>
  </si>
  <si>
    <t>Students practice long i words (-ire, -ipe). 
They read and spell words. 
They complete workbook pages.</t>
  </si>
  <si>
    <t>20-35</t>
  </si>
  <si>
    <r>
      <rPr>
        <rFont val="Calibri"/>
        <b/>
        <i/>
        <color theme="1"/>
        <sz val="13.0"/>
      </rPr>
      <t xml:space="preserve">45 minutes </t>
    </r>
    <r>
      <rPr>
        <rFont val="Calibri"/>
        <color theme="1"/>
        <sz val="13.0"/>
      </rPr>
      <t xml:space="preserve">Review long vowel i (Unit 3)
- Read along the story page 29,30
</t>
    </r>
    <r>
      <rPr>
        <rFont val="Calibri"/>
        <b/>
        <i/>
        <color theme="1"/>
        <sz val="13.0"/>
      </rPr>
      <t>45 minutes</t>
    </r>
    <r>
      <rPr>
        <rFont val="Calibri"/>
        <color theme="1"/>
        <sz val="13.0"/>
      </rPr>
      <t xml:space="preserve"> Review long vowel i (Unit 4)
- Read along the story page 37, 38</t>
    </r>
  </si>
  <si>
    <t>Nine has the long i sound
Time has the long i sound
Five has the long i sound
Pipe has the long i sound</t>
  </si>
  <si>
    <t>Students read stories with long i words. 
They practice fluency and comprehension.</t>
  </si>
  <si>
    <t>Students review town places. 
They practice target sentences. 
They complete a speaking activity.</t>
  </si>
  <si>
    <t>UNIT 8
MUSIC</t>
  </si>
  <si>
    <t>Instruments: drum, guitar, piano, recorder, tambourine, clap, dance, listen, sing</t>
  </si>
  <si>
    <t>- What is it? It's a...
- What are you doing?
I'm singing.</t>
  </si>
  <si>
    <t>Students learn instruments vocabulary. 
They ask “What is it?” and say “I’m (singing/dancing).”</t>
  </si>
  <si>
    <t>- Review instruments
- Story: Mimi's band
- Story song: Welcome to our show
- Speaking: Watch a video</t>
  </si>
  <si>
    <t>- What are you doing?
I'm singing.
- Do you like (playing the maracas)?
+ Yes, I do./ No, I don't.</t>
  </si>
  <si>
    <t>Students listen to “Mimi’s band” and sing. 
They practice “Do you like…?”. 
They watch a speaking video.</t>
  </si>
  <si>
    <t>- Value: Willingness to practice
- Extra words: fast, slow, loud, quiet
- Culture story: I am the music man</t>
  </si>
  <si>
    <t>It's....</t>
  </si>
  <si>
    <t>Students learn willingness to practice. 
They use extra words (fast, slow, loud, quiet). 
They act out with music.</t>
  </si>
  <si>
    <t>48-51</t>
  </si>
  <si>
    <r>
      <rPr>
        <rFont val="Calibri"/>
        <b/>
        <i/>
        <color theme="1"/>
        <sz val="13.0"/>
      </rPr>
      <t>45 minutes</t>
    </r>
    <r>
      <rPr>
        <rFont val="Calibri"/>
        <color theme="1"/>
        <sz val="13.0"/>
      </rPr>
      <t xml:space="preserve"> Unit 5 -  long vowel o:
- nose, rose, rope, hope
- vote, note
</t>
    </r>
    <r>
      <rPr>
        <rFont val="Calibri"/>
        <b/>
        <i/>
        <color theme="1"/>
        <sz val="13.0"/>
      </rPr>
      <t>40 minutes</t>
    </r>
    <r>
      <rPr>
        <rFont val="Calibri"/>
        <color theme="1"/>
        <sz val="13.0"/>
      </rPr>
      <t xml:space="preserve"> Students do exercise in page  50,51 (Teacher corrects their exercise)</t>
    </r>
  </si>
  <si>
    <t>Nose has the long o sound
Vote has the long o sound</t>
  </si>
  <si>
    <t>Students practice long o words (-ose, -ote). 
They read and spell words. 
They complete workbook practice.</t>
  </si>
  <si>
    <t>56-59</t>
  </si>
  <si>
    <r>
      <rPr>
        <rFont val="Calibri"/>
        <b/>
        <i/>
        <color theme="1"/>
        <sz val="13.0"/>
      </rPr>
      <t>45 minutes</t>
    </r>
    <r>
      <rPr>
        <rFont val="Calibri"/>
        <color theme="1"/>
        <sz val="13.0"/>
      </rPr>
      <t xml:space="preserve"> Unit 6 -  long vowel o:
- cone, bone, pole, hole
- home, dome
</t>
    </r>
    <r>
      <rPr>
        <rFont val="Calibri"/>
        <b/>
        <i/>
        <color theme="1"/>
        <sz val="13.0"/>
      </rPr>
      <t>40 minutes</t>
    </r>
    <r>
      <rPr>
        <rFont val="Calibri"/>
        <color theme="1"/>
        <sz val="13.0"/>
      </rPr>
      <t xml:space="preserve"> 
</t>
    </r>
    <r>
      <rPr>
        <rFont val="Calibri"/>
        <b/>
        <color rgb="FFFF0000"/>
        <sz val="13.0"/>
      </rPr>
      <t>Speaking Project:</t>
    </r>
    <r>
      <rPr>
        <rFont val="Calibri"/>
        <color theme="1"/>
        <sz val="13.0"/>
      </rPr>
      <t xml:space="preserve"> </t>
    </r>
    <r>
      <rPr>
        <rFont val="Calibri"/>
        <color rgb="FF1155CC"/>
        <sz val="13.0"/>
        <u/>
      </rPr>
      <t>https://docs.google.com/presentation/d/1-C_Op1UAwgYIY7aVATWREe3oQvJTG2Jb/edit?usp=drive_link&amp;ouid=106692602941737424099&amp;rtpof=true&amp;sd=true</t>
    </r>
    <r>
      <rPr>
        <rFont val="Calibri"/>
        <color theme="1"/>
        <sz val="13.0"/>
      </rPr>
      <t xml:space="preserve"> 
</t>
    </r>
  </si>
  <si>
    <t>Cone has the long o sound
Dome has the long o sound</t>
  </si>
  <si>
    <t>Students practice long o words (-one, -ome). 
They read fluently. 
They complete workbook exercises.</t>
  </si>
  <si>
    <r>
      <rPr>
        <rFont val="Calibri"/>
        <b/>
        <i/>
        <color theme="1"/>
        <sz val="13.0"/>
      </rPr>
      <t>45 minutes</t>
    </r>
    <r>
      <rPr>
        <rFont val="Calibri"/>
        <color theme="1"/>
        <sz val="13.0"/>
      </rPr>
      <t xml:space="preserve"> Review long vowel o (Unit 5)
- Read along the story page 54
</t>
    </r>
    <r>
      <rPr>
        <rFont val="Calibri"/>
        <b/>
        <i/>
        <color theme="1"/>
        <sz val="13.0"/>
      </rPr>
      <t xml:space="preserve">45 minutes </t>
    </r>
    <r>
      <rPr>
        <rFont val="Calibri"/>
        <color theme="1"/>
        <sz val="13.0"/>
      </rPr>
      <t>Review long vowel o (Unit 6)
- Read along the story page 62</t>
    </r>
  </si>
  <si>
    <t>Nose has the long o sound
Vote has the long o sound
Cone has the long o sound
Dome has the long o sound</t>
  </si>
  <si>
    <t>Students read stories with long o words. 
They practice fluency. 
They consolidate spelling.</t>
  </si>
  <si>
    <t>- Quick review instruments and letters (30 mins)
- Speaking activity with videos.</t>
  </si>
  <si>
    <t>Students review instruments and music words. 
They practice questions and answers. 
They complete a speaking activity.</t>
  </si>
  <si>
    <t>UNIT 9
 BUGS</t>
  </si>
  <si>
    <t>- Bugs: ant, bee, butterfly, ladybug, legs, sports, stripes, wings</t>
  </si>
  <si>
    <t>- What is it? It's....
- Does a (snail) have (spots)?
+ Yes, it does.
+ No, it doesn't.</t>
  </si>
  <si>
    <t>Students learn bug vocabulary. 
They practice “Does it have…?” questions. 
They describe bugs with yes/no answers.</t>
  </si>
  <si>
    <t>- Review bugs words
- Story: Honey for dinner
- Story song: We want to get some honey
- Speaking: Watch a video</t>
  </si>
  <si>
    <t>- It has wings.
- It doesn't have stripes.</t>
  </si>
  <si>
    <t>Students listen to “Honey for dinner”. 
They sing the bug song. 
They practice describing with “It has/It doesn’t have…”.</t>
  </si>
  <si>
    <t>- Value: Caring for our world
- Extra words: butterfly, caterpillar, chrysalis, egg, leaf
- Culture story: The ant and the grasshopper</t>
  </si>
  <si>
    <t>Students learn about caring for the world. 
They expand vocabulary with life cycle words. 
They practice target questions.</t>
  </si>
  <si>
    <t>ĐIỀU CHỈNH CẮT BỚT - THAY BẰNG PROJECT UNIT</t>
  </si>
  <si>
    <t>60-75</t>
  </si>
  <si>
    <r>
      <rPr>
        <rFont val="Calibri"/>
        <b/>
        <color theme="1"/>
        <sz val="13.0"/>
      </rPr>
      <t>45 minutes</t>
    </r>
    <r>
      <rPr>
        <rFont val="Calibri"/>
        <color theme="1"/>
        <sz val="13.0"/>
      </rPr>
      <t xml:space="preserve"> Unit 7 -  long vowel u:
- cube, tube
- June, tune, dune
</t>
    </r>
    <r>
      <rPr>
        <rFont val="Calibri"/>
        <b/>
        <color theme="1"/>
        <sz val="13.0"/>
      </rPr>
      <t>40 minutes</t>
    </r>
    <r>
      <rPr>
        <rFont val="Calibri"/>
        <color theme="1"/>
        <sz val="13.0"/>
      </rPr>
      <t xml:space="preserve"> Students do exercise in page 66,67 (Teacher corrects their exercise)</t>
    </r>
  </si>
  <si>
    <t>Tube has the long u sound
Dune has the long u sound</t>
  </si>
  <si>
    <t>Students practice long u words (-ube, -une). 
They read and blend words. 
They complete workbook pages.</t>
  </si>
  <si>
    <r>
      <rPr>
        <rFont val="Calibri"/>
        <b/>
        <color theme="1"/>
        <sz val="13.0"/>
      </rPr>
      <t>45 minutes</t>
    </r>
    <r>
      <rPr>
        <rFont val="Calibri"/>
        <color theme="1"/>
        <sz val="13.0"/>
      </rPr>
      <t xml:space="preserve"> Unit 7 - long vowel u: - cube, tube
- June, tune, dune
Long vowel u: - mule, fuse, cute
</t>
    </r>
    <r>
      <rPr>
        <rFont val="Calibri"/>
        <b/>
        <color theme="1"/>
        <sz val="13.0"/>
      </rPr>
      <t>40 minutes</t>
    </r>
    <r>
      <rPr>
        <rFont val="Calibri"/>
        <color theme="1"/>
        <sz val="13.0"/>
      </rPr>
      <t xml:space="preserve"> 
</t>
    </r>
    <r>
      <rPr>
        <rFont val="Calibri"/>
        <b/>
        <color rgb="FFFF0000"/>
        <sz val="13.0"/>
      </rPr>
      <t>Speaking Project:</t>
    </r>
    <r>
      <rPr>
        <rFont val="Calibri"/>
        <color theme="1"/>
        <sz val="13.0"/>
      </rPr>
      <t xml:space="preserve"> </t>
    </r>
    <r>
      <rPr>
        <rFont val="Calibri"/>
        <color rgb="FF1155CC"/>
        <sz val="13.0"/>
        <u/>
      </rPr>
      <t>https://docs.google.com/presentation/d/12x6aO492cJbFrlhTMF45lNaVfLHaI86_/edit?usp=drive_link&amp;ouid=106692602941737424099&amp;rtpof=true&amp;sd=true</t>
    </r>
    <r>
      <rPr>
        <rFont val="Calibri"/>
        <color theme="1"/>
        <sz val="13.0"/>
      </rPr>
      <t xml:space="preserve"> </t>
    </r>
  </si>
  <si>
    <t>Mule has the u sound
Cute has the u sound</t>
  </si>
  <si>
    <t>Students practice more u words (-ule, -ute). 
They read words with fluency. 
They complete exercises.</t>
  </si>
  <si>
    <r>
      <rPr>
        <rFont val="Calibri"/>
        <b/>
        <i/>
        <color theme="1"/>
        <sz val="13.0"/>
      </rPr>
      <t xml:space="preserve">45 minutes </t>
    </r>
    <r>
      <rPr>
        <rFont val="Calibri"/>
        <color theme="1"/>
        <sz val="13.0"/>
      </rPr>
      <t xml:space="preserve">Review long vowel u (Unit 7)
</t>
    </r>
    <r>
      <rPr>
        <rFont val="Calibri"/>
        <b/>
        <i/>
        <color theme="1"/>
        <sz val="13.0"/>
      </rPr>
      <t>45 minutes</t>
    </r>
    <r>
      <rPr>
        <rFont val="Calibri"/>
        <color theme="1"/>
        <sz val="13.0"/>
      </rPr>
      <t xml:space="preserve"> Read along the story page 70
Student do exercises in page 72,73</t>
    </r>
  </si>
  <si>
    <t>Tube has the long u sound
Dune has the long u sound
Mule has the u sound
Cute has the u sound</t>
  </si>
  <si>
    <t>Students review long u words. 
They read stories and complete workbook practice.</t>
  </si>
  <si>
    <t>REVIEW
FERRIS WHEELS 3</t>
  </si>
  <si>
    <t>UNIT 6</t>
  </si>
  <si>
    <t>Review
- Food: chicken, fish, pancakes, pizza, rice, salad, soup, spaghetti, toast, yogurt.
- Meal: breakfast, lunch, dinner</t>
  </si>
  <si>
    <t>Students review food and meal vocabulary. 
They practice “What do you have for…?”. 
They do a speaking activity.</t>
  </si>
  <si>
    <t>Unit 6</t>
  </si>
  <si>
    <t>36-43</t>
  </si>
  <si>
    <r>
      <rPr>
        <rFont val="Calibri"/>
        <b/>
        <color theme="1"/>
        <sz val="13.0"/>
      </rPr>
      <t>20 minutes</t>
    </r>
    <r>
      <rPr>
        <rFont val="Calibri"/>
        <color theme="1"/>
        <sz val="13.0"/>
      </rPr>
      <t xml:space="preserve"> Review long vowels a and i
</t>
    </r>
    <r>
      <rPr>
        <rFont val="Calibri"/>
        <b/>
        <color theme="1"/>
        <sz val="13.0"/>
      </rPr>
      <t xml:space="preserve">25 minutes </t>
    </r>
    <r>
      <rPr>
        <rFont val="Calibri"/>
        <color theme="1"/>
        <sz val="13.0"/>
      </rPr>
      <t xml:space="preserve">Student do exercises in page 40-41 
</t>
    </r>
    <r>
      <rPr>
        <rFont val="Calibri"/>
        <b/>
        <color theme="1"/>
        <sz val="13.0"/>
      </rPr>
      <t xml:space="preserve">20 minutes  </t>
    </r>
    <r>
      <rPr>
        <rFont val="Calibri"/>
        <color theme="1"/>
        <sz val="13.0"/>
      </rPr>
      <t xml:space="preserve">Student read the story page  42-43
</t>
    </r>
    <r>
      <rPr>
        <rFont val="Calibri"/>
        <b/>
        <color theme="1"/>
        <sz val="13.0"/>
      </rPr>
      <t xml:space="preserve">20 minutes </t>
    </r>
    <r>
      <rPr>
        <rFont val="Calibri"/>
        <color theme="1"/>
        <sz val="13.0"/>
      </rPr>
      <t xml:space="preserve">Student do exercises in page 44-45 </t>
    </r>
  </si>
  <si>
    <t>Students review long a and i. 
They read stories and complete exercises.</t>
  </si>
  <si>
    <t>UNIT 7</t>
  </si>
  <si>
    <t>Review 
Town: bookstore, mall, movie  theater, park, restaurant, supermarket, swimming pool, zoo</t>
  </si>
  <si>
    <t>Students review town vocabulary. 
They practice asking/answering questions. 
They do a speaking task.</t>
  </si>
  <si>
    <t>Unit 7</t>
  </si>
  <si>
    <r>
      <rPr>
        <rFont val="Calibri"/>
        <b/>
        <color theme="1"/>
        <sz val="13.0"/>
      </rPr>
      <t xml:space="preserve">20 minutes </t>
    </r>
    <r>
      <rPr>
        <rFont val="Calibri"/>
        <color theme="1"/>
        <sz val="13.0"/>
      </rPr>
      <t xml:space="preserve">Review long vowels o and u
</t>
    </r>
    <r>
      <rPr>
        <rFont val="Calibri"/>
        <b/>
        <color theme="1"/>
        <sz val="13.0"/>
      </rPr>
      <t xml:space="preserve">25 minutes </t>
    </r>
    <r>
      <rPr>
        <rFont val="Calibri"/>
        <color theme="1"/>
        <sz val="13.0"/>
      </rPr>
      <t xml:space="preserve">Student do exercises in page 74,75
</t>
    </r>
    <r>
      <rPr>
        <rFont val="Calibri"/>
        <b/>
        <color theme="1"/>
        <sz val="13.0"/>
      </rPr>
      <t>20 minutes</t>
    </r>
    <r>
      <rPr>
        <rFont val="Calibri"/>
        <color theme="1"/>
        <sz val="13.0"/>
      </rPr>
      <t xml:space="preserve">  Student read the story page  76
</t>
    </r>
    <r>
      <rPr>
        <rFont val="Calibri"/>
        <b/>
        <color theme="1"/>
        <sz val="13.0"/>
      </rPr>
      <t>20 minutes</t>
    </r>
    <r>
      <rPr>
        <rFont val="Calibri"/>
        <color theme="1"/>
        <sz val="13.0"/>
      </rPr>
      <t xml:space="preserve"> Student do exercises in page  77, 78</t>
    </r>
  </si>
  <si>
    <t>Students review long o and u. 
They read stories and do workbook practice.</t>
  </si>
  <si>
    <t>UNIT 8-9</t>
  </si>
  <si>
    <t>Students review music and bugs vocabulary. 
They practice target sentences. 
They complete a speaking activity.</t>
  </si>
  <si>
    <t>Unit 8-9</t>
  </si>
  <si>
    <t>LETTERS
V,W,Z,Y,Z</t>
  </si>
  <si>
    <r>
      <rPr>
        <rFont val="Calibri"/>
        <b/>
        <color theme="1"/>
        <sz val="13.0"/>
      </rPr>
      <t>20 minutes</t>
    </r>
    <r>
      <rPr>
        <rFont val="Calibri"/>
        <color theme="1"/>
        <sz val="13.0"/>
      </rPr>
      <t xml:space="preserve"> Review long vowels a-i-o-u
</t>
    </r>
    <r>
      <rPr>
        <rFont val="Calibri"/>
        <b/>
        <color theme="1"/>
        <sz val="13.0"/>
      </rPr>
      <t xml:space="preserve">25 minutes </t>
    </r>
    <r>
      <rPr>
        <rFont val="Calibri"/>
        <color theme="1"/>
        <sz val="13.0"/>
      </rPr>
      <t xml:space="preserve">Student do exercises in page 80, 81
</t>
    </r>
    <r>
      <rPr>
        <rFont val="Calibri"/>
        <b/>
        <color theme="1"/>
        <sz val="13.0"/>
      </rPr>
      <t xml:space="preserve">20 minutes </t>
    </r>
    <r>
      <rPr>
        <rFont val="Calibri"/>
        <color theme="1"/>
        <sz val="13.0"/>
      </rPr>
      <t xml:space="preserve"> Student read the story page  82,83, 84
</t>
    </r>
    <r>
      <rPr>
        <rFont val="Calibri"/>
        <b/>
        <color theme="1"/>
        <sz val="13.0"/>
      </rPr>
      <t>20 minutes</t>
    </r>
    <r>
      <rPr>
        <rFont val="Calibri"/>
        <color theme="1"/>
        <sz val="13.0"/>
      </rPr>
      <t xml:space="preserve"> Student do exercises in page  85,86</t>
    </r>
  </si>
  <si>
    <t>-Students review long vowels and new letters
- Read the story and complete workbook tasks.</t>
  </si>
  <si>
    <t>END OF LEVEL</t>
  </si>
  <si>
    <t>END OF LEVEL SPEAKING TEST
(Teachers prepare worksheet for students in class)</t>
  </si>
  <si>
    <t>END OF LEVEL SPEAKING TEST + GRADUATION 
(Teachers prepare worksheet for students 
Graduation_Moon + Sun (1).pptx</t>
  </si>
  <si>
    <t>Tổng quan chương trình (Sun,Moon,Galax)</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</si>
</sst>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
  </numFmts>
  <fonts count="23">
    <font>
      <sz val="11.0"/>
      <color theme="1"/>
      <name val="Calibri"/>
      <scheme val="minor"/>
    </font>
    <font>
      <b/>
      <sz val="28.0"/>
      <color rgb="FFCC4125"/>
      <name val="Calibri"/>
    </font>
    <font/>
    <font>
      <sz val="11.0"/>
      <color theme="1"/>
      <name val="Calibri"/>
    </font>
    <font>
      <b/>
      <sz val="13.0"/>
      <color theme="1"/>
      <name val="Calibri"/>
    </font>
    <font>
      <b/>
      <color theme="1"/>
      <name val="Calibri"/>
    </font>
    <font>
      <b/>
      <color rgb="FFFF00FF"/>
      <name val="Calibri"/>
    </font>
    <font>
      <b/>
      <i/>
      <u/>
      <sz val="12.0"/>
      <color rgb="FFCC4125"/>
      <name val="Calibri"/>
    </font>
    <font>
      <b/>
      <sz val="12.0"/>
      <color theme="1"/>
      <name val="Calibri"/>
    </font>
    <font>
      <color theme="1"/>
      <name val="Calibri"/>
    </font>
    <font>
      <b/>
      <sz val="18.0"/>
      <color theme="1"/>
      <name val="Calibri"/>
    </font>
    <font>
      <sz val="13.0"/>
      <color theme="1"/>
      <name val="Calibri"/>
    </font>
    <font>
      <sz val="12.0"/>
      <color theme="1"/>
      <name val="Calibri"/>
    </font>
    <font>
      <b/>
      <sz val="13.0"/>
      <color rgb="FFFF0000"/>
      <name val="Calibri"/>
    </font>
    <font>
      <u/>
      <sz val="13.0"/>
      <color theme="1"/>
      <name val="Calibri"/>
    </font>
    <font>
      <sz val="13.0"/>
      <color rgb="FFFF0000"/>
      <name val="Calibri"/>
    </font>
    <font>
      <sz val="13.0"/>
      <color theme="1"/>
      <name val="Arial"/>
    </font>
    <font>
      <sz val="14.0"/>
      <color theme="1"/>
      <name val="Calibri"/>
    </font>
    <font>
      <i/>
      <sz val="13.0"/>
      <color theme="1"/>
      <name val="Calibri"/>
    </font>
    <font>
      <b/>
      <sz val="13.0"/>
      <color rgb="FF000000"/>
      <name val="Calibri"/>
    </font>
    <font>
      <b/>
      <u/>
      <sz val="13.0"/>
      <color rgb="FF000000"/>
      <name val="Calibri"/>
    </font>
    <font>
      <u/>
      <sz val="13.0"/>
      <color rgb="FF000000"/>
      <name val="Calibri"/>
    </font>
    <font>
      <color theme="1"/>
      <name val="Calibri"/>
      <scheme val="minor"/>
    </font>
  </fonts>
  <fills count="10">
    <fill>
      <patternFill patternType="none"/>
    </fill>
    <fill>
      <patternFill patternType="lightGray"/>
    </fill>
    <fill>
      <patternFill patternType="solid">
        <fgColor rgb="FFF4CCCC"/>
        <bgColor rgb="FFF4CCCC"/>
      </patternFill>
    </fill>
    <fill>
      <patternFill patternType="solid">
        <fgColor rgb="FFC9DAF8"/>
        <bgColor rgb="FFC9DAF8"/>
      </patternFill>
    </fill>
    <fill>
      <patternFill patternType="solid">
        <fgColor rgb="FFD0CECE"/>
        <bgColor rgb="FFD0CECE"/>
      </patternFill>
    </fill>
    <fill>
      <patternFill patternType="solid">
        <fgColor theme="0"/>
        <bgColor theme="0"/>
      </patternFill>
    </fill>
    <fill>
      <patternFill patternType="solid">
        <fgColor rgb="FFEAD1DC"/>
        <bgColor rgb="FFEAD1DC"/>
      </patternFill>
    </fill>
    <fill>
      <patternFill patternType="solid">
        <fgColor rgb="FFD9D2E9"/>
        <bgColor rgb="FFD9D2E9"/>
      </patternFill>
    </fill>
    <fill>
      <patternFill patternType="solid">
        <fgColor rgb="FFFFFF00"/>
        <bgColor rgb="FFFFFF00"/>
      </patternFill>
    </fill>
    <fill>
      <patternFill patternType="solid">
        <fgColor rgb="FFFFFFFF"/>
        <bgColor rgb="FFFFFFFF"/>
      </patternFill>
    </fill>
  </fills>
  <borders count="20">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hair">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bottom style="hair">
        <color rgb="FF000000"/>
      </bottom>
    </border>
    <border>
      <left style="thin">
        <color rgb="FF000000"/>
      </left>
      <right style="thin">
        <color rgb="FF000000"/>
      </right>
      <top style="hair">
        <color rgb="FF000000"/>
      </top>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top style="hair">
        <color rgb="FF000000"/>
      </top>
    </border>
    <border>
      <right style="thin">
        <color rgb="FF000000"/>
      </right>
      <top style="hair">
        <color rgb="FF000000"/>
      </top>
    </border>
    <border>
      <right style="thin">
        <color rgb="FF000000"/>
      </right>
      <bottom style="hair">
        <color rgb="FF000000"/>
      </bottom>
    </border>
    <border>
      <right/>
      <top/>
      <bottom/>
    </border>
    <border>
      <left/>
      <right/>
      <top/>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Border="1" applyFont="1"/>
    <xf borderId="0" fillId="0" fontId="3" numFmtId="0" xfId="0" applyFont="1"/>
    <xf borderId="2" fillId="0" fontId="2" numFmtId="0" xfId="0" applyBorder="1" applyFont="1"/>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0" fillId="3" fontId="5" numFmtId="0" xfId="0" applyAlignment="1" applyFill="1" applyFont="1">
      <alignment shrinkToFit="0" vertical="center" wrapText="1"/>
    </xf>
    <xf borderId="0" fillId="3" fontId="6" numFmtId="0" xfId="0" applyAlignment="1" applyFont="1">
      <alignment horizontal="center" shrinkToFit="0" vertical="center" wrapText="1"/>
    </xf>
    <xf borderId="0" fillId="0" fontId="5" numFmtId="0" xfId="0" applyAlignment="1" applyFont="1">
      <alignment shrinkToFit="0" vertical="center" wrapText="1"/>
    </xf>
    <xf borderId="1" fillId="2" fontId="7" numFmtId="0" xfId="0" applyAlignment="1" applyBorder="1" applyFont="1">
      <alignment horizontal="left" readingOrder="0" shrinkToFit="0" vertical="center" wrapText="1"/>
    </xf>
    <xf borderId="0" fillId="0" fontId="5" numFmtId="0" xfId="0" applyAlignment="1" applyFont="1">
      <alignment horizontal="center" shrinkToFit="0" vertical="center" wrapText="1"/>
    </xf>
    <xf borderId="3" fillId="4" fontId="8" numFmtId="164" xfId="0" applyAlignment="1" applyBorder="1" applyFill="1" applyFont="1" applyNumberFormat="1">
      <alignment horizontal="center" vertical="center"/>
    </xf>
    <xf borderId="0" fillId="0" fontId="9" numFmtId="0" xfId="0" applyAlignment="1" applyFont="1">
      <alignment horizontal="center" shrinkToFit="0" vertical="center" wrapText="1"/>
    </xf>
    <xf borderId="3" fillId="4" fontId="8" numFmtId="0" xfId="0" applyAlignment="1" applyBorder="1" applyFont="1">
      <alignment horizontal="center" shrinkToFit="0" vertical="center" wrapText="1"/>
    </xf>
    <xf borderId="0" fillId="0" fontId="5" numFmtId="0" xfId="0" applyAlignment="1" applyFont="1">
      <alignment shrinkToFit="0" vertical="top" wrapText="1"/>
    </xf>
    <xf borderId="3" fillId="4" fontId="8" numFmtId="0" xfId="0" applyAlignment="1" applyBorder="1" applyFont="1">
      <alignment horizontal="center" vertical="center"/>
    </xf>
    <xf borderId="0" fillId="0" fontId="9" numFmtId="0" xfId="0" applyAlignment="1" applyFont="1">
      <alignment shrinkToFit="0" vertical="center" wrapText="1"/>
    </xf>
    <xf borderId="4" fillId="4" fontId="10" numFmtId="0" xfId="0" applyAlignment="1" applyBorder="1" applyFont="1">
      <alignment horizontal="center" vertical="center"/>
    </xf>
    <xf borderId="5" fillId="0" fontId="2" numFmtId="0" xfId="0" applyBorder="1" applyFont="1"/>
    <xf borderId="6" fillId="4" fontId="10" numFmtId="0" xfId="0" applyAlignment="1" applyBorder="1" applyFont="1">
      <alignment horizontal="center" vertical="center"/>
    </xf>
    <xf borderId="0" fillId="0" fontId="9" numFmtId="0" xfId="0" applyAlignment="1" applyFont="1">
      <alignment horizontal="left" shrinkToFit="0" vertical="center" wrapText="1"/>
    </xf>
    <xf borderId="7" fillId="0" fontId="2" numFmtId="0" xfId="0" applyBorder="1" applyFont="1"/>
    <xf borderId="8" fillId="0" fontId="11" numFmtId="164" xfId="0" applyAlignment="1" applyBorder="1" applyFont="1" applyNumberFormat="1">
      <alignment horizontal="center" readingOrder="0" vertical="center"/>
    </xf>
    <xf borderId="8" fillId="0" fontId="11" numFmtId="0" xfId="0" applyAlignment="1" applyBorder="1" applyFont="1">
      <alignment horizontal="center" vertical="center"/>
    </xf>
    <xf borderId="9" fillId="5" fontId="11" numFmtId="0" xfId="0" applyAlignment="1" applyBorder="1" applyFill="1" applyFont="1">
      <alignment horizontal="center" shrinkToFit="0" vertical="center" wrapText="1"/>
    </xf>
    <xf quotePrefix="1" borderId="8" fillId="0" fontId="11" numFmtId="0" xfId="0" applyAlignment="1" applyBorder="1" applyFont="1">
      <alignment shrinkToFit="0" vertical="center" wrapText="1"/>
    </xf>
    <xf borderId="10" fillId="0" fontId="11" numFmtId="0" xfId="0" applyAlignment="1" applyBorder="1" applyFont="1">
      <alignment horizontal="center" shrinkToFit="0" vertical="center" wrapText="1"/>
    </xf>
    <xf borderId="9" fillId="0" fontId="11" numFmtId="0" xfId="0" applyAlignment="1" applyBorder="1" applyFont="1">
      <alignment horizontal="center" shrinkToFit="0" vertical="center" wrapText="1"/>
    </xf>
    <xf quotePrefix="1" borderId="8" fillId="0" fontId="11" numFmtId="0" xfId="0" applyAlignment="1" applyBorder="1" applyFont="1">
      <alignment readingOrder="0" shrinkToFit="0" vertical="center" wrapText="1"/>
    </xf>
    <xf borderId="11" fillId="0" fontId="12" numFmtId="164" xfId="0" applyAlignment="1" applyBorder="1" applyFont="1" applyNumberFormat="1">
      <alignment horizontal="center" readingOrder="0" vertical="center"/>
    </xf>
    <xf borderId="8" fillId="6" fontId="13" numFmtId="0" xfId="0" applyAlignment="1" applyBorder="1" applyFill="1" applyFont="1">
      <alignment horizontal="center" readingOrder="0" shrinkToFit="0" vertical="center" wrapText="1"/>
    </xf>
    <xf quotePrefix="1" borderId="8" fillId="5" fontId="11" numFmtId="0" xfId="0" applyAlignment="1" applyBorder="1" applyFont="1">
      <alignment horizontal="center" shrinkToFit="0" vertical="center" wrapText="1"/>
    </xf>
    <xf borderId="8" fillId="0" fontId="14" numFmtId="0" xfId="0" applyAlignment="1" applyBorder="1" applyFont="1">
      <alignment readingOrder="0" shrinkToFit="0" vertical="center" wrapText="1"/>
    </xf>
    <xf borderId="8" fillId="0" fontId="11" numFmtId="0" xfId="0" applyAlignment="1" applyBorder="1" applyFont="1">
      <alignment shrinkToFit="0" vertical="center" wrapText="1"/>
    </xf>
    <xf borderId="8" fillId="5" fontId="11" numFmtId="0" xfId="0" applyAlignment="1" applyBorder="1" applyFont="1">
      <alignment horizontal="center" shrinkToFit="0" vertical="center" wrapText="1"/>
    </xf>
    <xf borderId="10" fillId="0" fontId="12" numFmtId="164" xfId="0" applyAlignment="1" applyBorder="1" applyFont="1" applyNumberFormat="1">
      <alignment horizontal="center" readingOrder="0" vertical="center"/>
    </xf>
    <xf borderId="8" fillId="5" fontId="15" numFmtId="0" xfId="0" applyAlignment="1" applyBorder="1" applyFont="1">
      <alignment horizontal="center" shrinkToFit="0" vertical="center" wrapText="1"/>
    </xf>
    <xf borderId="8" fillId="0" fontId="11" numFmtId="165" xfId="0" applyAlignment="1" applyBorder="1" applyFont="1" applyNumberFormat="1">
      <alignment horizontal="center" readingOrder="0" vertical="center"/>
    </xf>
    <xf borderId="8" fillId="0" fontId="11" numFmtId="0" xfId="0" applyAlignment="1" applyBorder="1" applyFont="1">
      <alignment horizontal="center" shrinkToFit="0" vertical="center" wrapText="1"/>
    </xf>
    <xf quotePrefix="1" borderId="8" fillId="0" fontId="11" numFmtId="0" xfId="0" applyAlignment="1" applyBorder="1" applyFont="1">
      <alignment horizontal="center" shrinkToFit="0" vertical="center" wrapText="1"/>
    </xf>
    <xf borderId="8" fillId="7" fontId="13" numFmtId="0" xfId="0" applyAlignment="1" applyBorder="1" applyFill="1" applyFont="1">
      <alignment horizontal="center" readingOrder="0" shrinkToFit="0" vertical="center" wrapText="1"/>
    </xf>
    <xf borderId="8" fillId="0" fontId="11" numFmtId="164" xfId="0" applyAlignment="1" applyBorder="1" applyFont="1" applyNumberFormat="1">
      <alignment horizontal="center" vertical="center"/>
    </xf>
    <xf borderId="8" fillId="8" fontId="4" numFmtId="0" xfId="0" applyAlignment="1" applyBorder="1" applyFill="1" applyFont="1">
      <alignment horizontal="center" shrinkToFit="0" vertical="center" wrapText="1"/>
    </xf>
    <xf quotePrefix="1" borderId="8" fillId="0" fontId="16" numFmtId="0" xfId="0" applyAlignment="1" applyBorder="1" applyFont="1">
      <alignment shrinkToFit="0" vertical="center" wrapText="1"/>
    </xf>
    <xf borderId="8" fillId="0" fontId="17" numFmtId="164" xfId="0" applyAlignment="1" applyBorder="1" applyFont="1" applyNumberFormat="1">
      <alignment horizontal="center" vertical="center"/>
    </xf>
    <xf borderId="8" fillId="0" fontId="11" numFmtId="164" xfId="0" applyAlignment="1" applyBorder="1" applyFont="1" applyNumberFormat="1">
      <alignment horizontal="center" shrinkToFit="0" vertical="center" wrapText="1"/>
    </xf>
    <xf borderId="12" fillId="0" fontId="11" numFmtId="0" xfId="0" applyAlignment="1" applyBorder="1" applyFont="1">
      <alignment shrinkToFit="0" vertical="center" wrapText="1"/>
    </xf>
    <xf borderId="8" fillId="0" fontId="4" numFmtId="164" xfId="0" applyAlignment="1" applyBorder="1" applyFont="1" applyNumberFormat="1">
      <alignment horizontal="center" vertical="center"/>
    </xf>
    <xf borderId="12" fillId="0" fontId="11" numFmtId="0" xfId="0" applyAlignment="1" applyBorder="1" applyFont="1">
      <alignment horizontal="center" shrinkToFit="0" vertical="center" wrapText="1"/>
    </xf>
    <xf borderId="13" fillId="0" fontId="2" numFmtId="0" xfId="0" applyBorder="1" applyFont="1"/>
    <xf borderId="14" fillId="0" fontId="11" numFmtId="164" xfId="0" applyAlignment="1" applyBorder="1" applyFont="1" applyNumberFormat="1">
      <alignment horizontal="center" vertical="center"/>
    </xf>
    <xf borderId="11" fillId="8" fontId="4" numFmtId="0" xfId="0" applyAlignment="1" applyBorder="1" applyFont="1">
      <alignment horizontal="center" shrinkToFit="0" vertical="center" wrapText="1"/>
    </xf>
    <xf borderId="14" fillId="5" fontId="11" numFmtId="0" xfId="0" applyAlignment="1" applyBorder="1" applyFont="1">
      <alignment horizontal="center" shrinkToFit="0" vertical="center" wrapText="1"/>
    </xf>
    <xf borderId="15" fillId="0" fontId="11" numFmtId="0" xfId="0" applyAlignment="1" applyBorder="1" applyFont="1">
      <alignment horizontal="center" shrinkToFit="0" vertical="center" wrapText="1"/>
    </xf>
    <xf borderId="16" fillId="0" fontId="2" numFmtId="0" xfId="0" applyBorder="1" applyFont="1"/>
    <xf borderId="11" fillId="0" fontId="11" numFmtId="0" xfId="0" applyAlignment="1" applyBorder="1" applyFont="1">
      <alignment horizontal="center" shrinkToFit="0" vertical="center" wrapText="1"/>
    </xf>
    <xf quotePrefix="1" borderId="14" fillId="0" fontId="11" numFmtId="0" xfId="0" applyAlignment="1" applyBorder="1" applyFont="1">
      <alignment horizontal="center" shrinkToFit="0" vertical="center" wrapText="1"/>
    </xf>
    <xf borderId="10" fillId="5" fontId="11" numFmtId="0" xfId="0" applyAlignment="1" applyBorder="1" applyFont="1">
      <alignment horizontal="center" shrinkToFit="0" vertical="center" wrapText="1"/>
    </xf>
    <xf quotePrefix="1" borderId="17" fillId="0" fontId="11" numFmtId="0" xfId="0" applyAlignment="1" applyBorder="1" applyFont="1">
      <alignment shrinkToFit="0" vertical="center" wrapText="1"/>
    </xf>
    <xf quotePrefix="1" borderId="10" fillId="0" fontId="11" numFmtId="0" xfId="0" applyAlignment="1" applyBorder="1" applyFont="1">
      <alignment shrinkToFit="0" vertical="center" wrapText="1"/>
    </xf>
    <xf quotePrefix="1" borderId="10" fillId="0" fontId="11" numFmtId="0" xfId="0" applyAlignment="1" applyBorder="1" applyFont="1">
      <alignment horizontal="center" shrinkToFit="0" vertical="center" wrapText="1"/>
    </xf>
    <xf borderId="8" fillId="5" fontId="11" numFmtId="166" xfId="0" applyAlignment="1" applyBorder="1" applyFont="1" applyNumberFormat="1">
      <alignment horizontal="center" shrinkToFit="0" vertical="center" wrapText="1"/>
    </xf>
    <xf borderId="13" fillId="0" fontId="11" numFmtId="0" xfId="0" applyAlignment="1" applyBorder="1" applyFont="1">
      <alignment shrinkToFit="0" vertical="center" wrapText="1"/>
    </xf>
    <xf quotePrefix="1" borderId="13" fillId="0" fontId="11" numFmtId="0" xfId="0" applyAlignment="1" applyBorder="1" applyFont="1">
      <alignment shrinkToFit="0" vertical="center" wrapText="1"/>
    </xf>
    <xf borderId="13" fillId="0" fontId="11" numFmtId="0" xfId="0" applyAlignment="1" applyBorder="1" applyFont="1">
      <alignment horizontal="center" shrinkToFit="0" vertical="center" wrapText="1"/>
    </xf>
    <xf borderId="8" fillId="9" fontId="11" numFmtId="164" xfId="0" applyAlignment="1" applyBorder="1" applyFill="1" applyFont="1" applyNumberFormat="1">
      <alignment horizontal="center" vertical="center"/>
    </xf>
    <xf borderId="17" fillId="0" fontId="11" numFmtId="0" xfId="0" applyAlignment="1" applyBorder="1" applyFont="1">
      <alignment shrinkToFit="0" vertical="center" wrapText="1"/>
    </xf>
    <xf borderId="17" fillId="0" fontId="11" numFmtId="0" xfId="0" applyAlignment="1" applyBorder="1" applyFont="1">
      <alignment horizontal="center" shrinkToFit="0" vertical="center" wrapText="1"/>
    </xf>
    <xf borderId="18" fillId="9" fontId="3" numFmtId="0" xfId="0" applyBorder="1" applyFont="1"/>
    <xf borderId="19" fillId="9" fontId="3" numFmtId="0" xfId="0" applyBorder="1" applyFont="1"/>
    <xf borderId="8" fillId="0" fontId="18" numFmtId="0" xfId="0" applyAlignment="1" applyBorder="1" applyFont="1">
      <alignment horizontal="center" readingOrder="0" shrinkToFit="0" vertical="center" wrapText="1"/>
    </xf>
    <xf borderId="8" fillId="9" fontId="11" numFmtId="0" xfId="0" applyAlignment="1" applyBorder="1" applyFont="1">
      <alignment horizontal="center" shrinkToFit="0" vertical="center" wrapText="1"/>
    </xf>
    <xf borderId="0" fillId="0" fontId="3" numFmtId="0" xfId="0" applyAlignment="1" applyFont="1">
      <alignment vertical="center"/>
    </xf>
    <xf borderId="8" fillId="0" fontId="11" numFmtId="0" xfId="0" applyAlignment="1" applyBorder="1" applyFont="1">
      <alignment horizontal="left" shrinkToFit="0" vertical="center" wrapText="1"/>
    </xf>
    <xf borderId="8" fillId="0" fontId="3" numFmtId="164" xfId="0" applyAlignment="1" applyBorder="1" applyFont="1" applyNumberFormat="1">
      <alignment horizontal="center" vertical="center"/>
    </xf>
    <xf borderId="8" fillId="0" fontId="3" numFmtId="164" xfId="0" applyAlignment="1" applyBorder="1" applyFont="1" applyNumberFormat="1">
      <alignment vertical="center"/>
    </xf>
    <xf borderId="8" fillId="9" fontId="3" numFmtId="0" xfId="0" applyAlignment="1" applyBorder="1" applyFont="1">
      <alignment vertical="center"/>
    </xf>
    <xf borderId="12" fillId="0" fontId="19" numFmtId="0" xfId="0" applyAlignment="1" applyBorder="1" applyFont="1">
      <alignment horizontal="center" shrinkToFit="0" vertical="center" wrapText="1"/>
    </xf>
    <xf borderId="12" fillId="0" fontId="20" numFmtId="0" xfId="0" applyAlignment="1" applyBorder="1" applyFont="1">
      <alignment horizontal="center" shrinkToFit="0" vertical="center" wrapText="1"/>
    </xf>
    <xf borderId="8" fillId="0" fontId="21" numFmtId="0" xfId="0" applyAlignment="1" applyBorder="1" applyFont="1">
      <alignment horizontal="center" shrinkToFit="0" vertical="center" wrapText="1"/>
    </xf>
    <xf borderId="0" fillId="0" fontId="3" numFmtId="164" xfId="0" applyFont="1" applyNumberFormat="1"/>
    <xf borderId="0" fillId="0" fontId="3" numFmtId="164" xfId="0" applyAlignment="1" applyFont="1" applyNumberFormat="1">
      <alignment horizontal="center"/>
    </xf>
    <xf borderId="0" fillId="0" fontId="3" numFmtId="0" xfId="0" applyAlignment="1" applyFont="1">
      <alignment horizontal="center"/>
    </xf>
    <xf borderId="0" fillId="0" fontId="22" numFmtId="164" xfId="0" applyFont="1" applyNumberFormat="1"/>
  </cellXfs>
  <cellStyles count="1">
    <cellStyle xfId="0" name="Normal" builtinId="0"/>
  </cellStyles>
  <dxfs count="4">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Lesson Repor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4:C11" displayName="Table_1" name="Table_1" id="1">
  <tableColumns count="2">
    <tableColumn name="Grade" id="1"/>
    <tableColumn name="Moon 5" id="2"/>
  </tableColumns>
  <tableStyleInfo name="Lesson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presentation/d/14A1_Ql1MQyFbddHC84mmiQtAq57hhJl7/edit?slide=id.p10" TargetMode="External"/><Relationship Id="rId10" Type="http://schemas.openxmlformats.org/officeDocument/2006/relationships/hyperlink" Target="https://docs.google.com/presentation/d/12x6aO492cJbFrlhTMF45lNaVfLHaI86_/edit?usp=drive_link&amp;ouid=106692602941737424099&amp;rtpof=true&amp;sd=true" TargetMode="External"/><Relationship Id="rId13" Type="http://schemas.openxmlformats.org/officeDocument/2006/relationships/drawing" Target="../drawings/drawing1.xml"/><Relationship Id="rId12" Type="http://schemas.openxmlformats.org/officeDocument/2006/relationships/hyperlink" Target="https://drive.google.com/drive/u/0/folders/1EfW4D21vZtNu9qWoB7p9aFzr0JxOMJMy" TargetMode="External"/><Relationship Id="rId1" Type="http://schemas.openxmlformats.org/officeDocument/2006/relationships/hyperlink" Target="https://drive.google.com/file/d/1NxuA_X_KLeF6tdSjoVQp9Ene0A3Fk8L7/view?usp=drive_link" TargetMode="External"/><Relationship Id="rId2" Type="http://schemas.openxmlformats.org/officeDocument/2006/relationships/hyperlink" Target="https://docs.google.com/presentation/d/14hy_WdQHgBF2lefs4CUOuWl-QRGdtpvs/edit?usp=drive_link&amp;ouid=106692602941737424099&amp;rtpof=true&amp;sd=true" TargetMode="External"/><Relationship Id="rId3" Type="http://schemas.openxmlformats.org/officeDocument/2006/relationships/hyperlink" Target="https://docs.google.com/presentation/d/1FBvsdA4DrtKPKOJ-GmUSG4m5gonJVu_K/edit?usp=drive_link&amp;ouid=106692602941737424099&amp;rtpof=true&amp;sd=true" TargetMode="External"/><Relationship Id="rId4" Type="http://schemas.openxmlformats.org/officeDocument/2006/relationships/hyperlink" Target="https://docs.google.com/presentation/d/1u5n9KNGNCewcvyzMrXD1hqnWh_ypjVSK/edit?usp=drive_link&amp;ouid=106692602941737424099&amp;rtpof=true&amp;sd=true" TargetMode="External"/><Relationship Id="rId9" Type="http://schemas.openxmlformats.org/officeDocument/2006/relationships/hyperlink" Target="https://docs.google.com/presentation/d/1-C_Op1UAwgYIY7aVATWREe3oQvJTG2Jb/edit?usp=drive_link&amp;ouid=106692602941737424099&amp;rtpof=true&amp;sd=true" TargetMode="External"/><Relationship Id="rId5" Type="http://schemas.openxmlformats.org/officeDocument/2006/relationships/hyperlink" Target="https://docs.google.com/presentation/d/1D3I6U1JXiyBvo3r8yaacKN2WqaFKaiu8/edit?slide=id.p1" TargetMode="External"/><Relationship Id="rId6" Type="http://schemas.openxmlformats.org/officeDocument/2006/relationships/hyperlink" Target="https://docs.google.com/presentation/d/1wlf0i0TbC4ctjmEVqkbkbbYwnzsxUmQS/edit?usp=drive_link&amp;ouid=106692602941737424099&amp;rtpof=true&amp;sd=true" TargetMode="External"/><Relationship Id="rId7" Type="http://schemas.openxmlformats.org/officeDocument/2006/relationships/hyperlink" Target="https://docs.google.com/presentation/d/1-xjLuoxeSj7pNY6G7Emlnm1d2GKxTHNR/edit?usp=drive_link&amp;ouid=106692602941737424099&amp;rtpof=true&amp;sd=true" TargetMode="External"/><Relationship Id="rId8" Type="http://schemas.openxmlformats.org/officeDocument/2006/relationships/hyperlink" Target="https://docs.google.com/presentation/d/1ORSMSnCSW0nonOHU5naszOMBkEJegojI/edit?usp=drive_link&amp;ouid=106692602941737424099&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4.71"/>
    <col customWidth="1" min="2" max="2" width="15.57"/>
    <col customWidth="1" min="3" max="3" width="23.14"/>
    <col customWidth="1" min="4" max="4" width="24.71"/>
    <col customWidth="1" min="5" max="5" width="58.43"/>
    <col customWidth="1" min="6" max="6" width="49.0"/>
    <col customWidth="1" min="7" max="7" width="44.86"/>
    <col customWidth="1" min="8" max="8" width="27.57"/>
    <col customWidth="1" min="9" max="23" width="9.57"/>
  </cols>
  <sheetData>
    <row r="1" ht="43.5" customHeight="1">
      <c r="A1" s="1" t="s">
        <v>0</v>
      </c>
      <c r="B1" s="2"/>
      <c r="C1" s="2"/>
      <c r="D1" s="2"/>
      <c r="E1" s="2"/>
      <c r="F1" s="2"/>
      <c r="G1" s="2"/>
      <c r="H1" s="4"/>
      <c r="I1" s="3"/>
      <c r="J1" s="3"/>
      <c r="K1" s="3"/>
      <c r="L1" s="3"/>
      <c r="M1" s="3"/>
      <c r="N1" s="3"/>
      <c r="O1" s="3"/>
      <c r="P1" s="3"/>
      <c r="Q1" s="3"/>
      <c r="R1" s="3"/>
      <c r="S1" s="3"/>
      <c r="T1" s="3"/>
      <c r="U1" s="3"/>
      <c r="V1" s="3"/>
      <c r="W1" s="3"/>
    </row>
    <row r="2" ht="55.5" customHeight="1">
      <c r="A2" s="10" t="s">
        <v>4</v>
      </c>
      <c r="B2" s="2"/>
      <c r="C2" s="2"/>
      <c r="D2" s="2"/>
      <c r="E2" s="2"/>
      <c r="F2" s="2"/>
      <c r="G2" s="2"/>
      <c r="H2" s="4"/>
      <c r="I2" s="3"/>
      <c r="J2" s="3"/>
      <c r="K2" s="3"/>
      <c r="L2" s="3"/>
      <c r="M2" s="3"/>
      <c r="N2" s="3"/>
      <c r="O2" s="3"/>
      <c r="P2" s="3"/>
      <c r="Q2" s="3"/>
      <c r="R2" s="3"/>
      <c r="S2" s="3"/>
      <c r="T2" s="3"/>
      <c r="U2" s="3"/>
      <c r="V2" s="3"/>
      <c r="W2" s="3"/>
    </row>
    <row r="3" ht="29.25" customHeight="1">
      <c r="A3" s="12" t="s">
        <v>7</v>
      </c>
      <c r="B3" s="14" t="s">
        <v>3</v>
      </c>
      <c r="C3" s="16" t="s">
        <v>5</v>
      </c>
      <c r="D3" s="14" t="s">
        <v>9</v>
      </c>
      <c r="E3" s="18" t="s">
        <v>10</v>
      </c>
      <c r="F3" s="19"/>
      <c r="G3" s="18"/>
      <c r="H3" s="20"/>
      <c r="I3" s="3"/>
      <c r="J3" s="3"/>
      <c r="K3" s="3"/>
      <c r="L3" s="3"/>
      <c r="M3" s="3"/>
      <c r="N3" s="3"/>
      <c r="O3" s="3"/>
      <c r="P3" s="3"/>
      <c r="Q3" s="3"/>
      <c r="R3" s="3"/>
      <c r="S3" s="3"/>
      <c r="T3" s="3"/>
      <c r="U3" s="3"/>
      <c r="V3" s="3"/>
      <c r="W3" s="3"/>
    </row>
    <row r="4" ht="51.0" customHeight="1">
      <c r="A4" s="22"/>
      <c r="B4" s="22"/>
      <c r="C4" s="22"/>
      <c r="D4" s="22"/>
      <c r="E4" s="16" t="s">
        <v>8</v>
      </c>
      <c r="F4" s="16" t="s">
        <v>11</v>
      </c>
      <c r="G4" s="14" t="s">
        <v>14</v>
      </c>
      <c r="H4" s="14" t="s">
        <v>13</v>
      </c>
      <c r="I4" s="3"/>
      <c r="J4" s="3"/>
      <c r="K4" s="3"/>
      <c r="L4" s="3"/>
      <c r="M4" s="3"/>
      <c r="N4" s="3"/>
      <c r="O4" s="3"/>
      <c r="P4" s="3"/>
      <c r="Q4" s="3"/>
      <c r="R4" s="3"/>
      <c r="S4" s="3"/>
      <c r="T4" s="3"/>
      <c r="U4" s="3"/>
      <c r="V4" s="3"/>
      <c r="W4" s="3"/>
    </row>
    <row r="5" ht="138.75" customHeight="1">
      <c r="A5" s="23">
        <v>46216.0</v>
      </c>
      <c r="B5" s="24">
        <v>1.0</v>
      </c>
      <c r="C5" s="25" t="s">
        <v>15</v>
      </c>
      <c r="D5" s="25"/>
      <c r="E5" s="26" t="s">
        <v>16</v>
      </c>
      <c r="F5" s="26" t="s">
        <v>17</v>
      </c>
      <c r="G5" s="27" t="s">
        <v>18</v>
      </c>
      <c r="H5" s="28" t="s">
        <v>19</v>
      </c>
      <c r="I5" s="3"/>
      <c r="J5" s="3"/>
      <c r="K5" s="3"/>
      <c r="L5" s="3"/>
      <c r="M5" s="3"/>
      <c r="N5" s="3"/>
      <c r="O5" s="3"/>
      <c r="P5" s="3"/>
      <c r="Q5" s="3"/>
      <c r="R5" s="3"/>
      <c r="S5" s="3"/>
      <c r="T5" s="3"/>
      <c r="U5" s="3"/>
      <c r="V5" s="3"/>
      <c r="W5" s="3"/>
    </row>
    <row r="6" ht="141.0" customHeight="1">
      <c r="A6" s="23">
        <v>46219.0</v>
      </c>
      <c r="B6" s="24">
        <v>2.0</v>
      </c>
      <c r="C6" s="25" t="s">
        <v>15</v>
      </c>
      <c r="D6" s="25"/>
      <c r="E6" s="29" t="s">
        <v>20</v>
      </c>
      <c r="F6" s="26" t="s">
        <v>17</v>
      </c>
      <c r="G6" s="27" t="s">
        <v>21</v>
      </c>
      <c r="H6" s="28" t="s">
        <v>22</v>
      </c>
      <c r="I6" s="3"/>
      <c r="J6" s="3"/>
      <c r="K6" s="3"/>
      <c r="L6" s="3"/>
      <c r="M6" s="3"/>
      <c r="N6" s="3"/>
      <c r="O6" s="3"/>
      <c r="P6" s="3"/>
      <c r="Q6" s="3"/>
      <c r="R6" s="3"/>
      <c r="S6" s="3"/>
      <c r="T6" s="3"/>
      <c r="U6" s="3"/>
      <c r="V6" s="3"/>
      <c r="W6" s="3"/>
    </row>
    <row r="7" ht="171.0" customHeight="1">
      <c r="A7" s="30">
        <v>46223.0</v>
      </c>
      <c r="B7" s="24">
        <v>3.0</v>
      </c>
      <c r="C7" s="31" t="s">
        <v>23</v>
      </c>
      <c r="D7" s="32" t="s">
        <v>24</v>
      </c>
      <c r="E7" s="33" t="s">
        <v>25</v>
      </c>
      <c r="F7" s="34" t="s">
        <v>26</v>
      </c>
      <c r="G7" s="35" t="s">
        <v>27</v>
      </c>
      <c r="H7" s="35"/>
      <c r="I7" s="3"/>
      <c r="J7" s="3"/>
      <c r="K7" s="3"/>
      <c r="L7" s="3"/>
      <c r="M7" s="3"/>
      <c r="N7" s="3"/>
      <c r="O7" s="3"/>
      <c r="P7" s="3"/>
      <c r="Q7" s="3"/>
      <c r="R7" s="3"/>
      <c r="S7" s="3"/>
      <c r="T7" s="3"/>
      <c r="U7" s="3"/>
      <c r="V7" s="3"/>
      <c r="W7" s="3"/>
    </row>
    <row r="8" ht="99.75" customHeight="1">
      <c r="A8" s="36">
        <v>46226.0</v>
      </c>
      <c r="B8" s="24">
        <v>4.0</v>
      </c>
      <c r="C8" s="37" t="s">
        <v>28</v>
      </c>
      <c r="D8" s="32" t="s">
        <v>29</v>
      </c>
      <c r="E8" s="34" t="s">
        <v>30</v>
      </c>
      <c r="F8" s="34" t="s">
        <v>31</v>
      </c>
      <c r="G8" s="35" t="s">
        <v>32</v>
      </c>
      <c r="H8" s="35"/>
      <c r="I8" s="3"/>
      <c r="J8" s="3"/>
      <c r="K8" s="3"/>
      <c r="L8" s="3"/>
      <c r="M8" s="3"/>
      <c r="N8" s="3"/>
      <c r="O8" s="3"/>
      <c r="P8" s="3"/>
      <c r="Q8" s="3"/>
      <c r="R8" s="3"/>
      <c r="S8" s="3"/>
      <c r="T8" s="3"/>
      <c r="U8" s="3"/>
      <c r="V8" s="3"/>
      <c r="W8" s="3"/>
    </row>
    <row r="9" ht="101.25" customHeight="1">
      <c r="A9" s="38">
        <v>46230.0</v>
      </c>
      <c r="B9" s="24">
        <v>5.0</v>
      </c>
      <c r="C9" s="39" t="s">
        <v>33</v>
      </c>
      <c r="D9" s="39"/>
      <c r="E9" s="26" t="s">
        <v>34</v>
      </c>
      <c r="F9" s="26" t="s">
        <v>35</v>
      </c>
      <c r="G9" s="39" t="s">
        <v>36</v>
      </c>
      <c r="H9" s="39" t="s">
        <v>37</v>
      </c>
      <c r="I9" s="3"/>
      <c r="J9" s="3"/>
      <c r="K9" s="3"/>
      <c r="L9" s="3"/>
      <c r="M9" s="3"/>
      <c r="N9" s="3"/>
      <c r="O9" s="3"/>
      <c r="P9" s="3"/>
      <c r="Q9" s="3"/>
      <c r="R9" s="3"/>
      <c r="S9" s="3"/>
      <c r="T9" s="3"/>
      <c r="U9" s="3"/>
      <c r="V9" s="3"/>
      <c r="W9" s="3"/>
    </row>
    <row r="10" ht="105.75" customHeight="1">
      <c r="A10" s="38">
        <v>46233.0</v>
      </c>
      <c r="B10" s="24">
        <v>6.0</v>
      </c>
      <c r="C10" s="39" t="s">
        <v>33</v>
      </c>
      <c r="D10" s="39"/>
      <c r="E10" s="26" t="s">
        <v>38</v>
      </c>
      <c r="F10" s="26" t="s">
        <v>39</v>
      </c>
      <c r="G10" s="39" t="s">
        <v>40</v>
      </c>
      <c r="H10" s="39" t="s">
        <v>41</v>
      </c>
      <c r="I10" s="3"/>
      <c r="J10" s="3"/>
      <c r="K10" s="3"/>
      <c r="L10" s="3"/>
      <c r="M10" s="3"/>
      <c r="N10" s="3"/>
      <c r="O10" s="3"/>
      <c r="P10" s="3"/>
      <c r="Q10" s="3"/>
      <c r="R10" s="3"/>
      <c r="S10" s="3"/>
      <c r="T10" s="3"/>
      <c r="U10" s="3"/>
      <c r="V10" s="3"/>
      <c r="W10" s="3"/>
    </row>
    <row r="11" ht="94.5" customHeight="1">
      <c r="A11" s="23">
        <v>46237.0</v>
      </c>
      <c r="B11" s="24">
        <v>7.0</v>
      </c>
      <c r="C11" s="39" t="s">
        <v>33</v>
      </c>
      <c r="D11" s="39"/>
      <c r="E11" s="26" t="s">
        <v>42</v>
      </c>
      <c r="F11" s="26" t="s">
        <v>43</v>
      </c>
      <c r="G11" s="39" t="s">
        <v>44</v>
      </c>
      <c r="H11" s="40" t="s">
        <v>45</v>
      </c>
      <c r="I11" s="3"/>
      <c r="J11" s="3"/>
      <c r="K11" s="3"/>
      <c r="L11" s="3"/>
      <c r="M11" s="3"/>
      <c r="N11" s="3"/>
      <c r="O11" s="3"/>
      <c r="P11" s="3"/>
      <c r="Q11" s="3"/>
      <c r="R11" s="3"/>
      <c r="S11" s="3"/>
      <c r="T11" s="3"/>
      <c r="U11" s="3"/>
      <c r="V11" s="3"/>
      <c r="W11" s="3"/>
    </row>
    <row r="12" ht="177.0" customHeight="1">
      <c r="A12" s="23">
        <v>46240.0</v>
      </c>
      <c r="B12" s="24">
        <v>8.0</v>
      </c>
      <c r="C12" s="41" t="s">
        <v>23</v>
      </c>
      <c r="D12" s="39" t="s">
        <v>46</v>
      </c>
      <c r="E12" s="33" t="s">
        <v>47</v>
      </c>
      <c r="F12" s="34" t="s">
        <v>48</v>
      </c>
      <c r="G12" s="39" t="s">
        <v>49</v>
      </c>
      <c r="H12" s="39" t="s">
        <v>50</v>
      </c>
      <c r="I12" s="3"/>
      <c r="J12" s="3"/>
      <c r="K12" s="3"/>
      <c r="L12" s="3"/>
      <c r="M12" s="3"/>
      <c r="N12" s="3"/>
      <c r="O12" s="3"/>
      <c r="P12" s="3"/>
      <c r="Q12" s="3"/>
      <c r="R12" s="3"/>
      <c r="S12" s="3"/>
      <c r="T12" s="3"/>
      <c r="U12" s="3"/>
      <c r="V12" s="3"/>
      <c r="W12" s="3"/>
    </row>
    <row r="13" ht="87.0" customHeight="1">
      <c r="A13" s="42"/>
      <c r="B13" s="24">
        <v>9.0</v>
      </c>
      <c r="C13" s="37" t="s">
        <v>28</v>
      </c>
      <c r="D13" s="35"/>
      <c r="E13" s="34" t="s">
        <v>51</v>
      </c>
      <c r="F13" s="34" t="s">
        <v>52</v>
      </c>
      <c r="G13" s="39" t="s">
        <v>53</v>
      </c>
      <c r="H13" s="39" t="s">
        <v>50</v>
      </c>
      <c r="I13" s="3"/>
      <c r="J13" s="3"/>
      <c r="K13" s="3"/>
      <c r="L13" s="3"/>
      <c r="M13" s="3"/>
      <c r="N13" s="3"/>
      <c r="O13" s="3"/>
      <c r="P13" s="3"/>
      <c r="Q13" s="3"/>
      <c r="R13" s="3"/>
      <c r="S13" s="3"/>
      <c r="T13" s="3"/>
      <c r="U13" s="3"/>
      <c r="V13" s="3"/>
      <c r="W13" s="3"/>
    </row>
    <row r="14" ht="118.5" customHeight="1">
      <c r="A14" s="42"/>
      <c r="B14" s="24">
        <v>10.0</v>
      </c>
      <c r="C14" s="37" t="s">
        <v>28</v>
      </c>
      <c r="D14" s="35"/>
      <c r="E14" s="34" t="s">
        <v>54</v>
      </c>
      <c r="F14" s="34" t="s">
        <v>55</v>
      </c>
      <c r="G14" s="39" t="s">
        <v>56</v>
      </c>
      <c r="H14" s="39"/>
      <c r="I14" s="3"/>
      <c r="J14" s="3"/>
      <c r="K14" s="3"/>
      <c r="L14" s="3"/>
      <c r="M14" s="3"/>
      <c r="N14" s="3"/>
      <c r="O14" s="3"/>
      <c r="P14" s="3"/>
      <c r="Q14" s="3"/>
      <c r="R14" s="3"/>
      <c r="S14" s="3"/>
      <c r="T14" s="3"/>
      <c r="U14" s="3"/>
      <c r="V14" s="3"/>
      <c r="W14" s="3"/>
    </row>
    <row r="15" ht="67.5" customHeight="1">
      <c r="A15" s="42"/>
      <c r="B15" s="24">
        <v>11.0</v>
      </c>
      <c r="C15" s="39" t="s">
        <v>33</v>
      </c>
      <c r="D15" s="43" t="s">
        <v>57</v>
      </c>
      <c r="E15" s="26" t="s">
        <v>58</v>
      </c>
      <c r="F15" s="34"/>
      <c r="G15" s="39" t="s">
        <v>59</v>
      </c>
      <c r="H15" s="39" t="s">
        <v>60</v>
      </c>
      <c r="I15" s="3"/>
      <c r="J15" s="3"/>
      <c r="K15" s="3"/>
      <c r="L15" s="3"/>
      <c r="M15" s="3"/>
      <c r="N15" s="3"/>
      <c r="O15" s="3"/>
      <c r="P15" s="3"/>
      <c r="Q15" s="3"/>
      <c r="R15" s="3"/>
      <c r="S15" s="3"/>
      <c r="T15" s="3"/>
      <c r="U15" s="3"/>
      <c r="V15" s="3"/>
      <c r="W15" s="3"/>
    </row>
    <row r="16" ht="66.75" customHeight="1">
      <c r="A16" s="42"/>
      <c r="B16" s="24">
        <v>12.0</v>
      </c>
      <c r="C16" s="39" t="s">
        <v>61</v>
      </c>
      <c r="D16" s="39"/>
      <c r="E16" s="44" t="s">
        <v>62</v>
      </c>
      <c r="F16" s="26" t="s">
        <v>63</v>
      </c>
      <c r="G16" s="39" t="s">
        <v>64</v>
      </c>
      <c r="H16" s="40" t="s">
        <v>37</v>
      </c>
      <c r="I16" s="3"/>
      <c r="J16" s="3"/>
      <c r="K16" s="3"/>
      <c r="L16" s="3"/>
      <c r="M16" s="3"/>
      <c r="N16" s="3"/>
      <c r="O16" s="3"/>
      <c r="P16" s="3"/>
      <c r="Q16" s="3"/>
      <c r="R16" s="3"/>
      <c r="S16" s="3"/>
      <c r="T16" s="3"/>
      <c r="U16" s="3"/>
      <c r="V16" s="3"/>
      <c r="W16" s="3"/>
    </row>
    <row r="17" ht="82.5" customHeight="1">
      <c r="A17" s="42"/>
      <c r="B17" s="24">
        <v>13.0</v>
      </c>
      <c r="C17" s="39" t="s">
        <v>61</v>
      </c>
      <c r="D17" s="39"/>
      <c r="E17" s="26" t="s">
        <v>65</v>
      </c>
      <c r="F17" s="26" t="s">
        <v>66</v>
      </c>
      <c r="G17" s="39" t="s">
        <v>67</v>
      </c>
      <c r="H17" s="40" t="s">
        <v>68</v>
      </c>
      <c r="I17" s="3"/>
      <c r="J17" s="3"/>
      <c r="K17" s="3"/>
      <c r="L17" s="3"/>
      <c r="M17" s="3"/>
      <c r="N17" s="3"/>
      <c r="O17" s="3"/>
      <c r="P17" s="3"/>
      <c r="Q17" s="3"/>
      <c r="R17" s="3"/>
      <c r="S17" s="3"/>
      <c r="T17" s="3"/>
      <c r="U17" s="3"/>
      <c r="V17" s="3"/>
      <c r="W17" s="3"/>
    </row>
    <row r="18" ht="108.0" customHeight="1">
      <c r="A18" s="42"/>
      <c r="B18" s="24">
        <v>14.0</v>
      </c>
      <c r="C18" s="39" t="s">
        <v>61</v>
      </c>
      <c r="D18" s="39"/>
      <c r="E18" s="26" t="s">
        <v>69</v>
      </c>
      <c r="F18" s="26" t="s">
        <v>66</v>
      </c>
      <c r="G18" s="39" t="s">
        <v>70</v>
      </c>
      <c r="H18" s="40" t="s">
        <v>71</v>
      </c>
      <c r="I18" s="3"/>
      <c r="J18" s="3"/>
      <c r="K18" s="3"/>
      <c r="L18" s="3"/>
      <c r="M18" s="3"/>
      <c r="N18" s="3"/>
      <c r="O18" s="3"/>
      <c r="P18" s="3"/>
      <c r="Q18" s="3"/>
      <c r="R18" s="3"/>
      <c r="S18" s="3"/>
      <c r="T18" s="3"/>
      <c r="U18" s="3"/>
      <c r="V18" s="3"/>
      <c r="W18" s="3"/>
    </row>
    <row r="19" ht="138.0" customHeight="1">
      <c r="A19" s="42"/>
      <c r="B19" s="24">
        <v>15.0</v>
      </c>
      <c r="C19" s="41" t="s">
        <v>23</v>
      </c>
      <c r="D19" s="39" t="s">
        <v>72</v>
      </c>
      <c r="E19" s="33" t="s">
        <v>73</v>
      </c>
      <c r="F19" s="34" t="s">
        <v>74</v>
      </c>
      <c r="G19" s="39" t="s">
        <v>75</v>
      </c>
      <c r="H19" s="39"/>
      <c r="I19" s="3"/>
      <c r="J19" s="3"/>
      <c r="K19" s="3"/>
      <c r="L19" s="3"/>
      <c r="M19" s="3"/>
      <c r="N19" s="3"/>
      <c r="O19" s="3"/>
      <c r="P19" s="3"/>
      <c r="Q19" s="3"/>
      <c r="R19" s="3"/>
      <c r="S19" s="3"/>
      <c r="T19" s="3"/>
      <c r="U19" s="3"/>
      <c r="V19" s="3"/>
      <c r="W19" s="3"/>
    </row>
    <row r="20" ht="84.75" customHeight="1">
      <c r="A20" s="42"/>
      <c r="B20" s="24">
        <v>16.0</v>
      </c>
      <c r="C20" s="37" t="s">
        <v>28</v>
      </c>
      <c r="D20" s="35" t="s">
        <v>76</v>
      </c>
      <c r="E20" s="34" t="s">
        <v>77</v>
      </c>
      <c r="F20" s="34" t="s">
        <v>78</v>
      </c>
      <c r="G20" s="39" t="s">
        <v>79</v>
      </c>
      <c r="H20" s="39"/>
      <c r="I20" s="3"/>
      <c r="J20" s="3"/>
      <c r="K20" s="3"/>
      <c r="L20" s="3"/>
      <c r="M20" s="3"/>
      <c r="N20" s="3"/>
      <c r="O20" s="3"/>
      <c r="P20" s="3"/>
      <c r="Q20" s="3"/>
      <c r="R20" s="3"/>
      <c r="S20" s="3"/>
      <c r="T20" s="3"/>
      <c r="U20" s="3"/>
      <c r="V20" s="3"/>
      <c r="W20" s="3"/>
    </row>
    <row r="21">
      <c r="A21" s="42"/>
      <c r="B21" s="24">
        <v>17.0</v>
      </c>
      <c r="C21" s="37" t="s">
        <v>28</v>
      </c>
      <c r="D21" s="35" t="s">
        <v>80</v>
      </c>
      <c r="E21" s="34" t="s">
        <v>81</v>
      </c>
      <c r="F21" s="34" t="s">
        <v>82</v>
      </c>
      <c r="G21" s="39" t="s">
        <v>83</v>
      </c>
      <c r="H21" s="39"/>
      <c r="I21" s="3"/>
      <c r="J21" s="3"/>
      <c r="K21" s="3"/>
      <c r="L21" s="3"/>
      <c r="M21" s="3"/>
      <c r="N21" s="3"/>
      <c r="O21" s="3"/>
      <c r="P21" s="3"/>
      <c r="Q21" s="3"/>
      <c r="R21" s="3"/>
      <c r="S21" s="3"/>
      <c r="T21" s="3"/>
      <c r="U21" s="3"/>
      <c r="V21" s="3"/>
      <c r="W21" s="3"/>
    </row>
    <row r="22" ht="99.0" customHeight="1">
      <c r="A22" s="42"/>
      <c r="B22" s="24">
        <v>18.0</v>
      </c>
      <c r="C22" s="39" t="s">
        <v>61</v>
      </c>
      <c r="D22" s="43" t="s">
        <v>57</v>
      </c>
      <c r="E22" s="26" t="s">
        <v>84</v>
      </c>
      <c r="F22" s="34"/>
      <c r="G22" s="39" t="s">
        <v>85</v>
      </c>
      <c r="H22" s="39" t="s">
        <v>86</v>
      </c>
      <c r="I22" s="3"/>
      <c r="J22" s="3"/>
      <c r="K22" s="3"/>
      <c r="L22" s="3"/>
      <c r="M22" s="3"/>
      <c r="N22" s="3"/>
      <c r="O22" s="3"/>
      <c r="P22" s="3"/>
      <c r="Q22" s="3"/>
      <c r="R22" s="3"/>
      <c r="S22" s="3"/>
      <c r="T22" s="3"/>
      <c r="U22" s="3"/>
      <c r="V22" s="3"/>
      <c r="W22" s="3"/>
    </row>
    <row r="23" ht="89.25" customHeight="1">
      <c r="A23" s="42"/>
      <c r="B23" s="24">
        <v>19.0</v>
      </c>
      <c r="C23" s="35" t="s">
        <v>87</v>
      </c>
      <c r="D23" s="39"/>
      <c r="E23" s="26" t="s">
        <v>88</v>
      </c>
      <c r="F23" s="26" t="s">
        <v>89</v>
      </c>
      <c r="G23" s="39" t="s">
        <v>90</v>
      </c>
      <c r="H23" s="40" t="s">
        <v>37</v>
      </c>
      <c r="I23" s="3"/>
      <c r="J23" s="3"/>
      <c r="K23" s="3"/>
      <c r="L23" s="3"/>
      <c r="M23" s="3"/>
      <c r="N23" s="3"/>
      <c r="O23" s="3"/>
      <c r="P23" s="3"/>
      <c r="Q23" s="3"/>
      <c r="R23" s="3"/>
      <c r="S23" s="3"/>
      <c r="T23" s="3"/>
      <c r="U23" s="3"/>
      <c r="V23" s="3"/>
      <c r="W23" s="3"/>
    </row>
    <row r="24" ht="85.5" customHeight="1">
      <c r="A24" s="45"/>
      <c r="B24" s="24">
        <v>20.0</v>
      </c>
      <c r="C24" s="35" t="s">
        <v>87</v>
      </c>
      <c r="D24" s="39"/>
      <c r="E24" s="26" t="s">
        <v>91</v>
      </c>
      <c r="F24" s="26" t="s">
        <v>92</v>
      </c>
      <c r="G24" s="39" t="s">
        <v>93</v>
      </c>
      <c r="H24" s="40" t="s">
        <v>68</v>
      </c>
      <c r="I24" s="3"/>
      <c r="J24" s="3"/>
      <c r="K24" s="3"/>
      <c r="L24" s="3"/>
      <c r="M24" s="3"/>
      <c r="N24" s="3"/>
      <c r="O24" s="3"/>
      <c r="P24" s="3"/>
      <c r="Q24" s="3"/>
      <c r="R24" s="3"/>
      <c r="S24" s="3"/>
      <c r="T24" s="3"/>
      <c r="U24" s="3"/>
      <c r="V24" s="3"/>
      <c r="W24" s="3"/>
    </row>
    <row r="25" ht="80.25" customHeight="1">
      <c r="A25" s="42"/>
      <c r="B25" s="24">
        <v>21.0</v>
      </c>
      <c r="C25" s="35" t="s">
        <v>87</v>
      </c>
      <c r="D25" s="39"/>
      <c r="E25" s="26" t="s">
        <v>94</v>
      </c>
      <c r="F25" s="26" t="s">
        <v>92</v>
      </c>
      <c r="G25" s="39" t="s">
        <v>95</v>
      </c>
      <c r="H25" s="40" t="s">
        <v>71</v>
      </c>
      <c r="I25" s="3"/>
      <c r="J25" s="3"/>
      <c r="K25" s="3"/>
      <c r="L25" s="3"/>
      <c r="M25" s="3"/>
      <c r="N25" s="3"/>
      <c r="O25" s="3"/>
      <c r="P25" s="3"/>
      <c r="Q25" s="3"/>
      <c r="R25" s="3"/>
      <c r="S25" s="3"/>
      <c r="T25" s="3"/>
      <c r="U25" s="3"/>
      <c r="V25" s="3"/>
      <c r="W25" s="3"/>
    </row>
    <row r="26" ht="159.0" customHeight="1">
      <c r="A26" s="42"/>
      <c r="B26" s="24">
        <v>22.0</v>
      </c>
      <c r="C26" s="31" t="s">
        <v>23</v>
      </c>
      <c r="D26" s="39" t="s">
        <v>96</v>
      </c>
      <c r="E26" s="33" t="s">
        <v>97</v>
      </c>
      <c r="F26" s="34" t="s">
        <v>98</v>
      </c>
      <c r="G26" s="39" t="s">
        <v>99</v>
      </c>
      <c r="H26" s="39"/>
      <c r="I26" s="3"/>
      <c r="J26" s="3"/>
      <c r="K26" s="3"/>
      <c r="L26" s="3"/>
      <c r="M26" s="3"/>
      <c r="N26" s="3"/>
      <c r="O26" s="3"/>
      <c r="P26" s="3"/>
      <c r="Q26" s="3"/>
      <c r="R26" s="3"/>
      <c r="S26" s="3"/>
      <c r="T26" s="3"/>
      <c r="U26" s="3"/>
      <c r="V26" s="3"/>
      <c r="W26" s="3"/>
    </row>
    <row r="27" ht="88.5" customHeight="1">
      <c r="A27" s="42"/>
      <c r="B27" s="24">
        <v>23.0</v>
      </c>
      <c r="C27" s="37" t="s">
        <v>28</v>
      </c>
      <c r="D27" s="39" t="s">
        <v>96</v>
      </c>
      <c r="E27" s="34" t="s">
        <v>100</v>
      </c>
      <c r="F27" s="34" t="s">
        <v>101</v>
      </c>
      <c r="G27" s="39" t="s">
        <v>102</v>
      </c>
      <c r="H27" s="39"/>
      <c r="I27" s="3"/>
      <c r="J27" s="3"/>
      <c r="K27" s="3"/>
      <c r="L27" s="3"/>
      <c r="M27" s="3"/>
      <c r="N27" s="3"/>
      <c r="O27" s="3"/>
      <c r="P27" s="3"/>
      <c r="Q27" s="3"/>
      <c r="R27" s="3"/>
      <c r="S27" s="3"/>
      <c r="T27" s="3"/>
      <c r="U27" s="3"/>
      <c r="V27" s="3"/>
      <c r="W27" s="3"/>
    </row>
    <row r="28" ht="88.5" customHeight="1">
      <c r="A28" s="42"/>
      <c r="B28" s="24">
        <v>24.0</v>
      </c>
      <c r="C28" s="37" t="s">
        <v>28</v>
      </c>
      <c r="D28" s="39" t="s">
        <v>96</v>
      </c>
      <c r="E28" s="34" t="s">
        <v>103</v>
      </c>
      <c r="F28" s="34" t="s">
        <v>104</v>
      </c>
      <c r="G28" s="39" t="s">
        <v>105</v>
      </c>
      <c r="H28" s="39"/>
      <c r="I28" s="3"/>
      <c r="J28" s="3"/>
      <c r="K28" s="3"/>
      <c r="L28" s="3"/>
      <c r="M28" s="3"/>
      <c r="N28" s="3"/>
      <c r="O28" s="3"/>
      <c r="P28" s="3"/>
      <c r="Q28" s="3"/>
      <c r="R28" s="3"/>
      <c r="S28" s="3"/>
      <c r="T28" s="3"/>
      <c r="U28" s="3"/>
      <c r="V28" s="3"/>
      <c r="W28" s="3"/>
    </row>
    <row r="29" ht="66.0" customHeight="1">
      <c r="A29" s="42"/>
      <c r="B29" s="24">
        <v>25.0</v>
      </c>
      <c r="C29" s="35" t="s">
        <v>87</v>
      </c>
      <c r="D29" s="43" t="s">
        <v>57</v>
      </c>
      <c r="E29" s="26" t="s">
        <v>106</v>
      </c>
      <c r="F29" s="34"/>
      <c r="G29" s="39" t="s">
        <v>107</v>
      </c>
      <c r="H29" s="39" t="s">
        <v>86</v>
      </c>
      <c r="I29" s="3"/>
      <c r="J29" s="3"/>
      <c r="K29" s="3"/>
      <c r="L29" s="3"/>
      <c r="M29" s="3"/>
      <c r="N29" s="3"/>
      <c r="O29" s="3"/>
      <c r="P29" s="3"/>
      <c r="Q29" s="3"/>
      <c r="R29" s="3"/>
      <c r="S29" s="3"/>
      <c r="T29" s="3"/>
      <c r="U29" s="3"/>
      <c r="V29" s="3"/>
      <c r="W29" s="3"/>
    </row>
    <row r="30" ht="80.25" customHeight="1">
      <c r="A30" s="42"/>
      <c r="B30" s="24">
        <v>26.0</v>
      </c>
      <c r="C30" s="35" t="s">
        <v>108</v>
      </c>
      <c r="D30" s="39"/>
      <c r="E30" s="26" t="s">
        <v>109</v>
      </c>
      <c r="F30" s="34" t="s">
        <v>110</v>
      </c>
      <c r="G30" s="39" t="s">
        <v>111</v>
      </c>
      <c r="H30" s="40" t="s">
        <v>37</v>
      </c>
      <c r="I30" s="3"/>
      <c r="J30" s="3"/>
      <c r="K30" s="3"/>
      <c r="L30" s="3"/>
      <c r="M30" s="3"/>
      <c r="N30" s="3"/>
      <c r="O30" s="3"/>
      <c r="P30" s="3"/>
      <c r="Q30" s="3"/>
      <c r="R30" s="3"/>
      <c r="S30" s="3"/>
      <c r="T30" s="3"/>
      <c r="U30" s="3"/>
      <c r="V30" s="3"/>
      <c r="W30" s="3"/>
    </row>
    <row r="31" ht="79.5" customHeight="1">
      <c r="A31" s="42"/>
      <c r="B31" s="24">
        <v>27.0</v>
      </c>
      <c r="C31" s="35" t="s">
        <v>108</v>
      </c>
      <c r="D31" s="39"/>
      <c r="E31" s="26" t="s">
        <v>112</v>
      </c>
      <c r="F31" s="26" t="s">
        <v>113</v>
      </c>
      <c r="G31" s="39" t="s">
        <v>114</v>
      </c>
      <c r="H31" s="40" t="s">
        <v>68</v>
      </c>
      <c r="I31" s="3"/>
      <c r="J31" s="3"/>
      <c r="K31" s="3"/>
      <c r="L31" s="3"/>
      <c r="M31" s="3"/>
      <c r="N31" s="3"/>
      <c r="O31" s="3"/>
      <c r="P31" s="3"/>
      <c r="Q31" s="3"/>
      <c r="R31" s="3"/>
      <c r="S31" s="3"/>
      <c r="T31" s="3"/>
      <c r="U31" s="3"/>
      <c r="V31" s="3"/>
      <c r="W31" s="3"/>
    </row>
    <row r="32" ht="77.25" customHeight="1">
      <c r="A32" s="42"/>
      <c r="B32" s="24">
        <v>28.0</v>
      </c>
      <c r="C32" s="35" t="s">
        <v>108</v>
      </c>
      <c r="D32" s="39"/>
      <c r="E32" s="26" t="s">
        <v>115</v>
      </c>
      <c r="F32" s="26" t="s">
        <v>116</v>
      </c>
      <c r="G32" s="39" t="s">
        <v>117</v>
      </c>
      <c r="H32" s="40" t="s">
        <v>71</v>
      </c>
      <c r="I32" s="3"/>
      <c r="J32" s="3"/>
      <c r="K32" s="3"/>
      <c r="L32" s="3"/>
      <c r="M32" s="3"/>
      <c r="N32" s="3"/>
      <c r="O32" s="3"/>
      <c r="P32" s="3"/>
      <c r="Q32" s="3"/>
      <c r="R32" s="3"/>
      <c r="S32" s="3"/>
      <c r="T32" s="3"/>
      <c r="U32" s="3"/>
      <c r="V32" s="3"/>
      <c r="W32" s="3"/>
    </row>
    <row r="33" ht="80.25" customHeight="1">
      <c r="A33" s="46"/>
      <c r="B33" s="24">
        <v>29.0</v>
      </c>
      <c r="C33" s="37" t="s">
        <v>28</v>
      </c>
      <c r="D33" s="39" t="s">
        <v>118</v>
      </c>
      <c r="E33" s="34" t="s">
        <v>119</v>
      </c>
      <c r="F33" s="34" t="s">
        <v>120</v>
      </c>
      <c r="G33" s="39" t="s">
        <v>121</v>
      </c>
      <c r="H33" s="39">
        <v>67.0</v>
      </c>
      <c r="I33" s="3"/>
      <c r="J33" s="3"/>
      <c r="K33" s="3"/>
      <c r="L33" s="3"/>
      <c r="M33" s="3"/>
      <c r="N33" s="3"/>
      <c r="O33" s="3"/>
      <c r="P33" s="3"/>
      <c r="Q33" s="3"/>
      <c r="R33" s="3"/>
      <c r="S33" s="3"/>
      <c r="T33" s="3"/>
      <c r="U33" s="3"/>
      <c r="V33" s="3"/>
      <c r="W33" s="3"/>
    </row>
    <row r="34" ht="150.75" customHeight="1">
      <c r="A34" s="42"/>
      <c r="B34" s="24">
        <v>30.0</v>
      </c>
      <c r="C34" s="41" t="s">
        <v>23</v>
      </c>
      <c r="D34" s="35" t="s">
        <v>122</v>
      </c>
      <c r="E34" s="33" t="s">
        <v>123</v>
      </c>
      <c r="F34" s="34" t="s">
        <v>124</v>
      </c>
      <c r="G34" s="39" t="s">
        <v>125</v>
      </c>
      <c r="H34" s="39">
        <v>75.0</v>
      </c>
      <c r="I34" s="3"/>
      <c r="J34" s="3"/>
      <c r="K34" s="3"/>
      <c r="L34" s="3"/>
      <c r="M34" s="3"/>
      <c r="N34" s="3"/>
      <c r="O34" s="3"/>
      <c r="P34" s="3"/>
      <c r="Q34" s="3"/>
      <c r="R34" s="3"/>
      <c r="S34" s="3"/>
      <c r="T34" s="3"/>
      <c r="U34" s="3"/>
      <c r="V34" s="3"/>
      <c r="W34" s="3"/>
    </row>
    <row r="35" ht="287.25" customHeight="1">
      <c r="A35" s="42"/>
      <c r="B35" s="24">
        <v>31.0</v>
      </c>
      <c r="C35" s="39" t="s">
        <v>126</v>
      </c>
      <c r="D35" s="35" t="s">
        <v>127</v>
      </c>
      <c r="E35" s="47" t="s">
        <v>128</v>
      </c>
      <c r="F35" s="34" t="s">
        <v>129</v>
      </c>
      <c r="G35" s="39" t="s">
        <v>130</v>
      </c>
      <c r="H35" s="39" t="s">
        <v>131</v>
      </c>
      <c r="I35" s="3"/>
      <c r="J35" s="3"/>
      <c r="K35" s="3"/>
      <c r="L35" s="3"/>
      <c r="M35" s="3"/>
      <c r="N35" s="3"/>
      <c r="O35" s="3"/>
      <c r="P35" s="3"/>
      <c r="Q35" s="3"/>
      <c r="R35" s="3"/>
      <c r="S35" s="3"/>
      <c r="T35" s="3"/>
      <c r="U35" s="3"/>
      <c r="V35" s="3"/>
      <c r="W35" s="3"/>
    </row>
    <row r="36" ht="114.75" customHeight="1">
      <c r="A36" s="42"/>
      <c r="B36" s="24">
        <v>32.0</v>
      </c>
      <c r="C36" s="37" t="s">
        <v>28</v>
      </c>
      <c r="D36" s="39" t="s">
        <v>132</v>
      </c>
      <c r="E36" s="34" t="s">
        <v>133</v>
      </c>
      <c r="F36" s="34" t="s">
        <v>134</v>
      </c>
      <c r="G36" s="39" t="s">
        <v>135</v>
      </c>
      <c r="H36" s="39"/>
      <c r="I36" s="3"/>
      <c r="J36" s="3"/>
      <c r="K36" s="3"/>
      <c r="L36" s="3"/>
      <c r="M36" s="3"/>
      <c r="N36" s="3"/>
      <c r="O36" s="3"/>
      <c r="P36" s="3"/>
      <c r="Q36" s="3"/>
      <c r="R36" s="3"/>
      <c r="S36" s="3"/>
      <c r="T36" s="3"/>
      <c r="U36" s="3"/>
      <c r="V36" s="3"/>
      <c r="W36" s="3"/>
    </row>
    <row r="37" ht="178.5" customHeight="1">
      <c r="A37" s="48"/>
      <c r="B37" s="24">
        <v>33.0</v>
      </c>
      <c r="C37" s="39" t="s">
        <v>126</v>
      </c>
      <c r="D37" s="35" t="s">
        <v>136</v>
      </c>
      <c r="E37" s="47" t="s">
        <v>137</v>
      </c>
      <c r="F37" s="34" t="s">
        <v>138</v>
      </c>
      <c r="G37" s="39" t="s">
        <v>139</v>
      </c>
      <c r="H37" s="39" t="s">
        <v>140</v>
      </c>
      <c r="I37" s="3"/>
      <c r="J37" s="3"/>
      <c r="K37" s="3"/>
      <c r="L37" s="3"/>
      <c r="M37" s="3"/>
      <c r="N37" s="3"/>
      <c r="O37" s="3"/>
      <c r="P37" s="3"/>
      <c r="Q37" s="3"/>
      <c r="R37" s="3"/>
      <c r="S37" s="3"/>
      <c r="T37" s="3"/>
      <c r="U37" s="3"/>
      <c r="V37" s="3"/>
      <c r="W37" s="3"/>
    </row>
    <row r="38" ht="67.5" customHeight="1">
      <c r="A38" s="42"/>
      <c r="B38" s="24">
        <v>34.0</v>
      </c>
      <c r="C38" s="37" t="s">
        <v>28</v>
      </c>
      <c r="D38" s="35" t="s">
        <v>141</v>
      </c>
      <c r="E38" s="47" t="s">
        <v>142</v>
      </c>
      <c r="F38" s="34"/>
      <c r="G38" s="39" t="s">
        <v>143</v>
      </c>
      <c r="H38" s="39"/>
      <c r="I38" s="3"/>
      <c r="J38" s="3"/>
      <c r="K38" s="3"/>
      <c r="L38" s="3"/>
      <c r="M38" s="3"/>
      <c r="N38" s="3"/>
      <c r="O38" s="3"/>
      <c r="P38" s="3"/>
      <c r="Q38" s="3"/>
      <c r="R38" s="3"/>
      <c r="S38" s="3"/>
      <c r="T38" s="3"/>
      <c r="U38" s="3"/>
      <c r="V38" s="3"/>
      <c r="W38" s="3"/>
    </row>
    <row r="39" ht="67.5" customHeight="1">
      <c r="A39" s="42"/>
      <c r="B39" s="24">
        <v>35.0</v>
      </c>
      <c r="C39" s="37" t="s">
        <v>28</v>
      </c>
      <c r="D39" s="35" t="s">
        <v>144</v>
      </c>
      <c r="E39" s="47" t="s">
        <v>145</v>
      </c>
      <c r="F39" s="34"/>
      <c r="G39" s="39" t="s">
        <v>146</v>
      </c>
      <c r="H39" s="39"/>
      <c r="I39" s="3"/>
      <c r="J39" s="3"/>
      <c r="K39" s="3"/>
      <c r="L39" s="3"/>
      <c r="M39" s="3"/>
      <c r="N39" s="3"/>
      <c r="O39" s="3"/>
      <c r="P39" s="3"/>
      <c r="Q39" s="3"/>
      <c r="R39" s="3"/>
      <c r="S39" s="3"/>
      <c r="T39" s="3"/>
      <c r="U39" s="3"/>
      <c r="V39" s="3"/>
      <c r="W39" s="3"/>
    </row>
    <row r="40" ht="54.75" customHeight="1">
      <c r="A40" s="42"/>
      <c r="B40" s="24">
        <v>36.0</v>
      </c>
      <c r="C40" s="43" t="s">
        <v>147</v>
      </c>
      <c r="D40" s="35"/>
      <c r="E40" s="49" t="s">
        <v>148</v>
      </c>
      <c r="F40" s="50"/>
      <c r="G40" s="39" t="s">
        <v>149</v>
      </c>
      <c r="H40" s="40" t="s">
        <v>50</v>
      </c>
      <c r="I40" s="3"/>
      <c r="J40" s="3"/>
      <c r="K40" s="3"/>
      <c r="L40" s="3"/>
      <c r="M40" s="3"/>
      <c r="N40" s="3"/>
      <c r="O40" s="3"/>
      <c r="P40" s="3"/>
      <c r="Q40" s="3"/>
      <c r="R40" s="3"/>
      <c r="S40" s="3"/>
      <c r="T40" s="3"/>
      <c r="U40" s="3"/>
      <c r="V40" s="3"/>
      <c r="W40" s="3"/>
    </row>
    <row r="41" ht="39.75" customHeight="1">
      <c r="A41" s="51"/>
      <c r="B41" s="24">
        <v>37.0</v>
      </c>
      <c r="C41" s="52" t="s">
        <v>147</v>
      </c>
      <c r="D41" s="53"/>
      <c r="E41" s="54" t="s">
        <v>150</v>
      </c>
      <c r="F41" s="55"/>
      <c r="G41" s="56" t="s">
        <v>151</v>
      </c>
      <c r="H41" s="57" t="s">
        <v>50</v>
      </c>
      <c r="I41" s="3"/>
      <c r="J41" s="3"/>
      <c r="K41" s="3"/>
      <c r="L41" s="3"/>
      <c r="M41" s="3"/>
      <c r="N41" s="3"/>
      <c r="O41" s="3"/>
      <c r="P41" s="3"/>
      <c r="Q41" s="3"/>
      <c r="R41" s="3"/>
      <c r="S41" s="3"/>
      <c r="T41" s="3"/>
      <c r="U41" s="3"/>
      <c r="V41" s="3"/>
      <c r="W41" s="3"/>
    </row>
    <row r="42" ht="80.25" customHeight="1">
      <c r="A42" s="42"/>
      <c r="B42" s="24">
        <v>38.0</v>
      </c>
      <c r="C42" s="58" t="s">
        <v>152</v>
      </c>
      <c r="D42" s="27"/>
      <c r="E42" s="59" t="s">
        <v>153</v>
      </c>
      <c r="F42" s="60" t="s">
        <v>154</v>
      </c>
      <c r="G42" s="27" t="s">
        <v>155</v>
      </c>
      <c r="H42" s="61" t="s">
        <v>37</v>
      </c>
      <c r="I42" s="3"/>
      <c r="J42" s="3"/>
      <c r="K42" s="3"/>
      <c r="L42" s="3"/>
      <c r="M42" s="3"/>
      <c r="N42" s="3"/>
      <c r="O42" s="3"/>
      <c r="P42" s="3"/>
      <c r="Q42" s="3"/>
      <c r="R42" s="3"/>
      <c r="S42" s="3"/>
      <c r="T42" s="3"/>
      <c r="U42" s="3"/>
      <c r="V42" s="3"/>
      <c r="W42" s="3"/>
    </row>
    <row r="43" ht="84.0" customHeight="1">
      <c r="A43" s="42"/>
      <c r="B43" s="24">
        <v>39.0</v>
      </c>
      <c r="C43" s="35" t="s">
        <v>152</v>
      </c>
      <c r="D43" s="27"/>
      <c r="E43" s="59" t="s">
        <v>156</v>
      </c>
      <c r="F43" s="26" t="s">
        <v>157</v>
      </c>
      <c r="G43" s="39" t="s">
        <v>158</v>
      </c>
      <c r="H43" s="40" t="s">
        <v>68</v>
      </c>
      <c r="I43" s="3"/>
      <c r="J43" s="3"/>
      <c r="K43" s="3"/>
      <c r="L43" s="3"/>
      <c r="M43" s="3"/>
      <c r="N43" s="3"/>
      <c r="O43" s="3"/>
      <c r="P43" s="3"/>
      <c r="Q43" s="3"/>
      <c r="R43" s="3"/>
      <c r="S43" s="3"/>
      <c r="T43" s="3"/>
      <c r="U43" s="3"/>
      <c r="V43" s="3"/>
      <c r="W43" s="3"/>
    </row>
    <row r="44" ht="84.0" customHeight="1">
      <c r="A44" s="42"/>
      <c r="B44" s="24">
        <v>40.0</v>
      </c>
      <c r="C44" s="35" t="s">
        <v>152</v>
      </c>
      <c r="D44" s="27"/>
      <c r="E44" s="59" t="s">
        <v>159</v>
      </c>
      <c r="F44" s="26" t="s">
        <v>160</v>
      </c>
      <c r="G44" s="39" t="s">
        <v>161</v>
      </c>
      <c r="H44" s="40" t="s">
        <v>71</v>
      </c>
      <c r="I44" s="3"/>
      <c r="J44" s="3"/>
      <c r="K44" s="3"/>
      <c r="L44" s="3"/>
      <c r="M44" s="3"/>
      <c r="N44" s="3"/>
      <c r="O44" s="3"/>
      <c r="P44" s="3"/>
      <c r="Q44" s="3"/>
      <c r="R44" s="3"/>
      <c r="S44" s="3"/>
      <c r="T44" s="3"/>
      <c r="U44" s="3"/>
      <c r="V44" s="3"/>
      <c r="W44" s="3"/>
    </row>
    <row r="45" ht="136.5" customHeight="1">
      <c r="A45" s="42"/>
      <c r="B45" s="24">
        <v>41.0</v>
      </c>
      <c r="C45" s="41" t="s">
        <v>162</v>
      </c>
      <c r="D45" s="62">
        <v>45604.0</v>
      </c>
      <c r="E45" s="33" t="s">
        <v>163</v>
      </c>
      <c r="F45" s="34" t="s">
        <v>164</v>
      </c>
      <c r="G45" s="39" t="s">
        <v>165</v>
      </c>
      <c r="H45" s="39"/>
      <c r="I45" s="3"/>
      <c r="J45" s="3"/>
      <c r="K45" s="3"/>
      <c r="L45" s="3"/>
      <c r="M45" s="3"/>
      <c r="N45" s="3"/>
      <c r="O45" s="3"/>
      <c r="P45" s="3"/>
      <c r="Q45" s="3"/>
      <c r="R45" s="3"/>
      <c r="S45" s="3"/>
      <c r="T45" s="3"/>
      <c r="U45" s="3"/>
      <c r="V45" s="3"/>
      <c r="W45" s="3"/>
    </row>
    <row r="46" ht="84.75" customHeight="1">
      <c r="A46" s="42"/>
      <c r="B46" s="24">
        <v>42.0</v>
      </c>
      <c r="C46" s="37" t="s">
        <v>166</v>
      </c>
      <c r="D46" s="35" t="s">
        <v>167</v>
      </c>
      <c r="E46" s="34" t="s">
        <v>168</v>
      </c>
      <c r="F46" s="34" t="s">
        <v>169</v>
      </c>
      <c r="G46" s="39" t="s">
        <v>170</v>
      </c>
      <c r="H46" s="39"/>
      <c r="I46" s="3"/>
      <c r="J46" s="3"/>
      <c r="K46" s="3"/>
      <c r="L46" s="3"/>
      <c r="M46" s="3"/>
      <c r="N46" s="3"/>
      <c r="O46" s="3"/>
      <c r="P46" s="3"/>
      <c r="Q46" s="3"/>
      <c r="R46" s="3"/>
      <c r="S46" s="3"/>
      <c r="T46" s="3"/>
      <c r="U46" s="3"/>
      <c r="V46" s="3"/>
      <c r="W46" s="3"/>
    </row>
    <row r="47" ht="99.75" customHeight="1">
      <c r="A47" s="42"/>
      <c r="B47" s="24">
        <v>43.0</v>
      </c>
      <c r="C47" s="37" t="s">
        <v>166</v>
      </c>
      <c r="D47" s="35">
        <v>14.22</v>
      </c>
      <c r="E47" s="34" t="s">
        <v>171</v>
      </c>
      <c r="F47" s="34" t="s">
        <v>172</v>
      </c>
      <c r="G47" s="39" t="s">
        <v>173</v>
      </c>
      <c r="H47" s="39"/>
      <c r="I47" s="3"/>
      <c r="J47" s="3"/>
      <c r="K47" s="3"/>
      <c r="L47" s="3"/>
      <c r="M47" s="3"/>
      <c r="N47" s="3"/>
      <c r="O47" s="3"/>
      <c r="P47" s="3"/>
      <c r="Q47" s="3"/>
      <c r="R47" s="3"/>
      <c r="S47" s="3"/>
      <c r="T47" s="3"/>
      <c r="U47" s="3"/>
      <c r="V47" s="3"/>
      <c r="W47" s="3"/>
    </row>
    <row r="48" ht="72.75" customHeight="1">
      <c r="A48" s="42"/>
      <c r="B48" s="24">
        <v>44.0</v>
      </c>
      <c r="C48" s="35" t="s">
        <v>152</v>
      </c>
      <c r="D48" s="43" t="s">
        <v>57</v>
      </c>
      <c r="E48" s="26" t="s">
        <v>174</v>
      </c>
      <c r="F48" s="34"/>
      <c r="G48" s="39" t="s">
        <v>175</v>
      </c>
      <c r="H48" s="39" t="s">
        <v>86</v>
      </c>
      <c r="I48" s="3"/>
      <c r="J48" s="3"/>
      <c r="K48" s="3"/>
      <c r="L48" s="3"/>
      <c r="M48" s="3"/>
      <c r="N48" s="3"/>
      <c r="O48" s="3"/>
      <c r="P48" s="3"/>
      <c r="Q48" s="3"/>
      <c r="R48" s="3"/>
      <c r="S48" s="3"/>
      <c r="T48" s="3"/>
      <c r="U48" s="3"/>
      <c r="V48" s="3"/>
      <c r="W48" s="3"/>
    </row>
    <row r="49" ht="63.0" customHeight="1">
      <c r="A49" s="42"/>
      <c r="B49" s="24">
        <v>45.0</v>
      </c>
      <c r="C49" s="35" t="s">
        <v>176</v>
      </c>
      <c r="D49" s="39"/>
      <c r="E49" s="63" t="s">
        <v>177</v>
      </c>
      <c r="F49" s="64" t="s">
        <v>178</v>
      </c>
      <c r="G49" s="65" t="s">
        <v>179</v>
      </c>
      <c r="H49" s="40" t="s">
        <v>37</v>
      </c>
      <c r="I49" s="3"/>
      <c r="J49" s="3"/>
      <c r="K49" s="3"/>
      <c r="L49" s="3"/>
      <c r="M49" s="3"/>
      <c r="N49" s="3"/>
      <c r="O49" s="3"/>
      <c r="P49" s="3"/>
      <c r="Q49" s="3"/>
      <c r="R49" s="3"/>
      <c r="S49" s="3"/>
      <c r="T49" s="3"/>
      <c r="U49" s="3"/>
      <c r="V49" s="3"/>
      <c r="W49" s="3"/>
    </row>
    <row r="50" ht="78.0" customHeight="1">
      <c r="A50" s="66"/>
      <c r="B50" s="24">
        <v>46.0</v>
      </c>
      <c r="C50" s="35" t="s">
        <v>176</v>
      </c>
      <c r="D50" s="27"/>
      <c r="E50" s="59" t="s">
        <v>180</v>
      </c>
      <c r="F50" s="67" t="s">
        <v>181</v>
      </c>
      <c r="G50" s="68" t="s">
        <v>182</v>
      </c>
      <c r="H50" s="40" t="s">
        <v>68</v>
      </c>
      <c r="I50" s="69"/>
      <c r="J50" s="70"/>
      <c r="K50" s="70"/>
      <c r="L50" s="70"/>
      <c r="M50" s="70"/>
      <c r="N50" s="70"/>
      <c r="O50" s="70"/>
      <c r="P50" s="70"/>
      <c r="Q50" s="70"/>
      <c r="R50" s="70"/>
      <c r="S50" s="70"/>
      <c r="T50" s="70"/>
      <c r="U50" s="70"/>
      <c r="V50" s="70"/>
      <c r="W50" s="70"/>
    </row>
    <row r="51" ht="84.0" customHeight="1">
      <c r="A51" s="42"/>
      <c r="B51" s="24">
        <v>47.0</v>
      </c>
      <c r="C51" s="35" t="s">
        <v>176</v>
      </c>
      <c r="D51" s="27"/>
      <c r="E51" s="59" t="s">
        <v>183</v>
      </c>
      <c r="F51" s="67" t="s">
        <v>184</v>
      </c>
      <c r="G51" s="68" t="s">
        <v>185</v>
      </c>
      <c r="H51" s="40" t="s">
        <v>71</v>
      </c>
      <c r="I51" s="3"/>
      <c r="J51" s="3"/>
      <c r="K51" s="3"/>
      <c r="L51" s="3"/>
      <c r="M51" s="3"/>
      <c r="N51" s="3"/>
      <c r="O51" s="3"/>
      <c r="P51" s="3"/>
      <c r="Q51" s="3"/>
      <c r="R51" s="3"/>
      <c r="S51" s="3"/>
      <c r="T51" s="3"/>
      <c r="U51" s="3"/>
      <c r="V51" s="3"/>
      <c r="W51" s="3"/>
    </row>
    <row r="52" ht="140.25" customHeight="1">
      <c r="A52" s="42"/>
      <c r="B52" s="24">
        <v>48.0</v>
      </c>
      <c r="C52" s="41" t="s">
        <v>162</v>
      </c>
      <c r="D52" s="27" t="s">
        <v>186</v>
      </c>
      <c r="E52" s="33" t="s">
        <v>187</v>
      </c>
      <c r="F52" s="34" t="s">
        <v>188</v>
      </c>
      <c r="G52" s="39" t="s">
        <v>189</v>
      </c>
      <c r="H52" s="39"/>
      <c r="I52" s="3"/>
      <c r="J52" s="3"/>
      <c r="K52" s="3"/>
      <c r="L52" s="3"/>
      <c r="M52" s="3"/>
      <c r="N52" s="3"/>
      <c r="O52" s="3"/>
      <c r="P52" s="3"/>
      <c r="Q52" s="3"/>
      <c r="R52" s="3"/>
      <c r="S52" s="3"/>
      <c r="T52" s="3"/>
      <c r="U52" s="3"/>
      <c r="V52" s="3"/>
      <c r="W52" s="3"/>
    </row>
    <row r="53" ht="85.5" customHeight="1">
      <c r="A53" s="42"/>
      <c r="B53" s="24">
        <v>49.0</v>
      </c>
      <c r="C53" s="37" t="s">
        <v>166</v>
      </c>
      <c r="D53" s="35" t="s">
        <v>190</v>
      </c>
      <c r="E53" s="34" t="s">
        <v>191</v>
      </c>
      <c r="F53" s="34" t="s">
        <v>192</v>
      </c>
      <c r="G53" s="39" t="s">
        <v>193</v>
      </c>
      <c r="H53" s="39"/>
      <c r="I53" s="3"/>
      <c r="J53" s="3"/>
      <c r="K53" s="3"/>
      <c r="L53" s="3"/>
      <c r="M53" s="3"/>
      <c r="N53" s="3"/>
      <c r="O53" s="3"/>
      <c r="P53" s="3"/>
      <c r="Q53" s="3"/>
      <c r="R53" s="3"/>
      <c r="S53" s="3"/>
      <c r="T53" s="3"/>
      <c r="U53" s="3"/>
      <c r="V53" s="3"/>
      <c r="W53" s="3"/>
    </row>
    <row r="54" ht="102.75" customHeight="1">
      <c r="A54" s="42"/>
      <c r="B54" s="24">
        <v>50.0</v>
      </c>
      <c r="C54" s="37" t="s">
        <v>166</v>
      </c>
      <c r="D54" s="35" t="s">
        <v>194</v>
      </c>
      <c r="E54" s="34" t="s">
        <v>195</v>
      </c>
      <c r="F54" s="34" t="s">
        <v>196</v>
      </c>
      <c r="G54" s="39" t="s">
        <v>197</v>
      </c>
      <c r="H54" s="39"/>
      <c r="I54" s="3"/>
      <c r="J54" s="3"/>
      <c r="K54" s="3"/>
      <c r="L54" s="3"/>
      <c r="M54" s="3"/>
      <c r="N54" s="3"/>
      <c r="O54" s="3"/>
      <c r="P54" s="3"/>
      <c r="Q54" s="3"/>
      <c r="R54" s="3"/>
      <c r="S54" s="3"/>
      <c r="T54" s="3"/>
      <c r="U54" s="3"/>
      <c r="V54" s="3"/>
      <c r="W54" s="3"/>
    </row>
    <row r="55" ht="67.5" customHeight="1">
      <c r="A55" s="42"/>
      <c r="B55" s="24">
        <v>51.0</v>
      </c>
      <c r="C55" s="35" t="s">
        <v>176</v>
      </c>
      <c r="D55" s="43" t="s">
        <v>126</v>
      </c>
      <c r="E55" s="26" t="s">
        <v>174</v>
      </c>
      <c r="F55" s="34"/>
      <c r="G55" s="39" t="s">
        <v>198</v>
      </c>
      <c r="H55" s="39" t="s">
        <v>86</v>
      </c>
      <c r="I55" s="3"/>
      <c r="J55" s="3"/>
      <c r="K55" s="3"/>
      <c r="L55" s="3"/>
      <c r="M55" s="3"/>
      <c r="N55" s="3"/>
      <c r="O55" s="3"/>
      <c r="P55" s="3"/>
      <c r="Q55" s="3"/>
      <c r="R55" s="3"/>
      <c r="S55" s="3"/>
      <c r="T55" s="3"/>
      <c r="U55" s="3"/>
      <c r="V55" s="3"/>
      <c r="W55" s="3"/>
    </row>
    <row r="56" ht="71.25" customHeight="1">
      <c r="A56" s="42"/>
      <c r="B56" s="24">
        <v>52.0</v>
      </c>
      <c r="C56" s="35" t="s">
        <v>199</v>
      </c>
      <c r="D56" s="39"/>
      <c r="E56" s="34" t="s">
        <v>200</v>
      </c>
      <c r="F56" s="26" t="s">
        <v>201</v>
      </c>
      <c r="G56" s="39" t="s">
        <v>202</v>
      </c>
      <c r="H56" s="40" t="s">
        <v>37</v>
      </c>
      <c r="I56" s="3"/>
      <c r="J56" s="3"/>
      <c r="K56" s="3"/>
      <c r="L56" s="3"/>
      <c r="M56" s="3"/>
      <c r="N56" s="3"/>
      <c r="O56" s="3"/>
      <c r="P56" s="3"/>
      <c r="Q56" s="3"/>
      <c r="R56" s="3"/>
      <c r="S56" s="3"/>
      <c r="T56" s="3"/>
      <c r="U56" s="3"/>
      <c r="V56" s="3"/>
      <c r="W56" s="3"/>
    </row>
    <row r="57" ht="83.25" customHeight="1">
      <c r="A57" s="42"/>
      <c r="B57" s="24">
        <v>53.0</v>
      </c>
      <c r="C57" s="35" t="s">
        <v>199</v>
      </c>
      <c r="D57" s="27"/>
      <c r="E57" s="59" t="s">
        <v>203</v>
      </c>
      <c r="F57" s="26" t="s">
        <v>204</v>
      </c>
      <c r="G57" s="39" t="s">
        <v>205</v>
      </c>
      <c r="H57" s="40" t="s">
        <v>68</v>
      </c>
      <c r="I57" s="3"/>
      <c r="J57" s="3"/>
      <c r="K57" s="3"/>
      <c r="L57" s="3"/>
      <c r="M57" s="3"/>
      <c r="N57" s="3"/>
      <c r="O57" s="3"/>
      <c r="P57" s="3"/>
      <c r="Q57" s="3"/>
      <c r="R57" s="3"/>
      <c r="S57" s="3"/>
      <c r="T57" s="3"/>
      <c r="U57" s="3"/>
      <c r="V57" s="3"/>
      <c r="W57" s="3"/>
    </row>
    <row r="58" ht="83.25" customHeight="1">
      <c r="A58" s="42"/>
      <c r="B58" s="24">
        <v>54.0</v>
      </c>
      <c r="C58" s="35" t="s">
        <v>199</v>
      </c>
      <c r="D58" s="27"/>
      <c r="E58" s="59" t="s">
        <v>206</v>
      </c>
      <c r="F58" s="34" t="s">
        <v>207</v>
      </c>
      <c r="G58" s="39" t="s">
        <v>208</v>
      </c>
      <c r="H58" s="40" t="s">
        <v>71</v>
      </c>
      <c r="I58" s="3"/>
      <c r="J58" s="3"/>
      <c r="K58" s="3"/>
      <c r="L58" s="3"/>
      <c r="M58" s="3"/>
      <c r="N58" s="3"/>
      <c r="O58" s="3"/>
      <c r="P58" s="3"/>
      <c r="Q58" s="3"/>
      <c r="R58" s="3"/>
      <c r="S58" s="3"/>
      <c r="T58" s="3"/>
      <c r="U58" s="3"/>
      <c r="V58" s="3"/>
      <c r="W58" s="3"/>
    </row>
    <row r="59" ht="87.0" customHeight="1">
      <c r="A59" s="42"/>
      <c r="B59" s="24">
        <v>55.0</v>
      </c>
      <c r="C59" s="37" t="s">
        <v>166</v>
      </c>
      <c r="D59" s="27" t="s">
        <v>209</v>
      </c>
      <c r="E59" s="34" t="s">
        <v>210</v>
      </c>
      <c r="F59" s="34" t="s">
        <v>211</v>
      </c>
      <c r="G59" s="39" t="s">
        <v>212</v>
      </c>
      <c r="H59" s="39">
        <v>52.0</v>
      </c>
      <c r="I59" s="3"/>
      <c r="J59" s="3"/>
      <c r="K59" s="3"/>
      <c r="L59" s="3"/>
      <c r="M59" s="3"/>
      <c r="N59" s="3"/>
      <c r="O59" s="3"/>
      <c r="P59" s="3"/>
      <c r="Q59" s="3"/>
      <c r="R59" s="3"/>
      <c r="S59" s="3"/>
      <c r="T59" s="3"/>
      <c r="U59" s="3"/>
      <c r="V59" s="3"/>
      <c r="W59" s="3"/>
    </row>
    <row r="60" ht="135.0" customHeight="1">
      <c r="A60" s="42"/>
      <c r="B60" s="24">
        <v>56.0</v>
      </c>
      <c r="C60" s="41" t="s">
        <v>162</v>
      </c>
      <c r="D60" s="35" t="s">
        <v>213</v>
      </c>
      <c r="E60" s="33" t="s">
        <v>214</v>
      </c>
      <c r="F60" s="34" t="s">
        <v>215</v>
      </c>
      <c r="G60" s="39" t="s">
        <v>216</v>
      </c>
      <c r="H60" s="39">
        <v>60.0</v>
      </c>
      <c r="I60" s="3"/>
      <c r="J60" s="3"/>
      <c r="K60" s="3"/>
      <c r="L60" s="3"/>
      <c r="M60" s="3"/>
      <c r="N60" s="3"/>
      <c r="O60" s="3"/>
      <c r="P60" s="3"/>
      <c r="Q60" s="3"/>
      <c r="R60" s="3"/>
      <c r="S60" s="3"/>
      <c r="T60" s="3"/>
      <c r="U60" s="3"/>
      <c r="V60" s="3"/>
      <c r="W60" s="3"/>
    </row>
    <row r="61" ht="102.75" customHeight="1">
      <c r="A61" s="42"/>
      <c r="B61" s="24">
        <v>57.0</v>
      </c>
      <c r="C61" s="37" t="s">
        <v>166</v>
      </c>
      <c r="D61" s="35">
        <v>54.62</v>
      </c>
      <c r="E61" s="34" t="s">
        <v>217</v>
      </c>
      <c r="F61" s="34" t="s">
        <v>218</v>
      </c>
      <c r="G61" s="39" t="s">
        <v>219</v>
      </c>
      <c r="H61" s="39">
        <v>55.63</v>
      </c>
      <c r="I61" s="3"/>
      <c r="J61" s="3"/>
      <c r="K61" s="3"/>
      <c r="L61" s="3"/>
      <c r="M61" s="3"/>
      <c r="N61" s="3"/>
      <c r="O61" s="3"/>
      <c r="P61" s="3"/>
      <c r="Q61" s="3"/>
      <c r="R61" s="3"/>
      <c r="S61" s="3"/>
      <c r="T61" s="3"/>
      <c r="U61" s="3"/>
      <c r="V61" s="3"/>
      <c r="W61" s="3"/>
    </row>
    <row r="62" ht="67.5" customHeight="1">
      <c r="A62" s="42"/>
      <c r="B62" s="24">
        <v>58.0</v>
      </c>
      <c r="C62" s="35" t="s">
        <v>199</v>
      </c>
      <c r="D62" s="43" t="s">
        <v>126</v>
      </c>
      <c r="E62" s="26" t="s">
        <v>220</v>
      </c>
      <c r="F62" s="34"/>
      <c r="G62" s="39" t="s">
        <v>221</v>
      </c>
      <c r="H62" s="39" t="s">
        <v>86</v>
      </c>
      <c r="I62" s="3"/>
      <c r="J62" s="3"/>
      <c r="K62" s="3"/>
      <c r="L62" s="3"/>
      <c r="M62" s="3"/>
      <c r="N62" s="3"/>
      <c r="O62" s="3"/>
      <c r="P62" s="3"/>
      <c r="Q62" s="3"/>
      <c r="R62" s="3"/>
      <c r="S62" s="3"/>
      <c r="T62" s="3"/>
      <c r="U62" s="3"/>
      <c r="V62" s="3"/>
      <c r="W62" s="3"/>
    </row>
    <row r="63" ht="93.75" customHeight="1">
      <c r="A63" s="42"/>
      <c r="B63" s="24">
        <v>59.0</v>
      </c>
      <c r="C63" s="35" t="s">
        <v>222</v>
      </c>
      <c r="D63" s="39"/>
      <c r="E63" s="26" t="s">
        <v>223</v>
      </c>
      <c r="F63" s="26" t="s">
        <v>224</v>
      </c>
      <c r="G63" s="39" t="s">
        <v>225</v>
      </c>
      <c r="H63" s="40" t="s">
        <v>37</v>
      </c>
      <c r="I63" s="3"/>
      <c r="J63" s="3"/>
      <c r="K63" s="3"/>
      <c r="L63" s="3"/>
      <c r="M63" s="3"/>
      <c r="N63" s="3"/>
      <c r="O63" s="3"/>
      <c r="P63" s="3"/>
      <c r="Q63" s="3"/>
      <c r="R63" s="3"/>
      <c r="S63" s="3"/>
      <c r="T63" s="3"/>
      <c r="U63" s="3"/>
      <c r="V63" s="3"/>
      <c r="W63" s="3"/>
    </row>
    <row r="64" ht="81.75" customHeight="1">
      <c r="A64" s="42"/>
      <c r="B64" s="24">
        <v>60.0</v>
      </c>
      <c r="C64" s="35" t="s">
        <v>222</v>
      </c>
      <c r="D64" s="27"/>
      <c r="E64" s="59" t="s">
        <v>226</v>
      </c>
      <c r="F64" s="26" t="s">
        <v>227</v>
      </c>
      <c r="G64" s="39" t="s">
        <v>228</v>
      </c>
      <c r="H64" s="40" t="s">
        <v>68</v>
      </c>
      <c r="I64" s="3"/>
      <c r="J64" s="3"/>
      <c r="K64" s="3"/>
      <c r="L64" s="3"/>
      <c r="M64" s="3"/>
      <c r="N64" s="3"/>
      <c r="O64" s="3"/>
      <c r="P64" s="3"/>
      <c r="Q64" s="3"/>
      <c r="R64" s="3"/>
      <c r="S64" s="3"/>
      <c r="T64" s="3"/>
      <c r="U64" s="3"/>
      <c r="V64" s="3"/>
      <c r="W64" s="3"/>
    </row>
    <row r="65" ht="78.75" customHeight="1">
      <c r="A65" s="42"/>
      <c r="B65" s="24">
        <v>61.0</v>
      </c>
      <c r="C65" s="35" t="s">
        <v>222</v>
      </c>
      <c r="D65" s="27"/>
      <c r="E65" s="59" t="s">
        <v>229</v>
      </c>
      <c r="F65" s="26" t="s">
        <v>224</v>
      </c>
      <c r="G65" s="39" t="s">
        <v>230</v>
      </c>
      <c r="H65" s="40" t="s">
        <v>71</v>
      </c>
      <c r="I65" s="3"/>
      <c r="J65" s="3"/>
      <c r="K65" s="3"/>
      <c r="L65" s="3"/>
      <c r="M65" s="3"/>
      <c r="N65" s="3"/>
      <c r="O65" s="3"/>
      <c r="P65" s="3"/>
      <c r="Q65" s="3"/>
      <c r="R65" s="3"/>
      <c r="S65" s="3"/>
      <c r="T65" s="3"/>
      <c r="U65" s="3"/>
      <c r="V65" s="3"/>
      <c r="W65" s="3"/>
    </row>
    <row r="66" ht="79.5" customHeight="1">
      <c r="A66" s="71" t="s">
        <v>231</v>
      </c>
      <c r="B66" s="24">
        <v>62.0</v>
      </c>
      <c r="C66" s="37" t="s">
        <v>166</v>
      </c>
      <c r="D66" s="27" t="s">
        <v>232</v>
      </c>
      <c r="E66" s="34" t="s">
        <v>233</v>
      </c>
      <c r="F66" s="34" t="s">
        <v>234</v>
      </c>
      <c r="G66" s="39" t="s">
        <v>235</v>
      </c>
      <c r="H66" s="39"/>
      <c r="I66" s="3"/>
      <c r="J66" s="3"/>
      <c r="K66" s="3"/>
      <c r="L66" s="3"/>
      <c r="M66" s="3"/>
      <c r="N66" s="3"/>
      <c r="O66" s="3"/>
      <c r="P66" s="3"/>
      <c r="Q66" s="3"/>
      <c r="R66" s="3"/>
      <c r="S66" s="3"/>
      <c r="T66" s="3"/>
      <c r="U66" s="3"/>
      <c r="V66" s="3"/>
      <c r="W66" s="3"/>
    </row>
    <row r="67" ht="144.0" customHeight="1">
      <c r="A67" s="42"/>
      <c r="B67" s="24">
        <v>63.0</v>
      </c>
      <c r="C67" s="41" t="s">
        <v>162</v>
      </c>
      <c r="D67" s="27" t="s">
        <v>232</v>
      </c>
      <c r="E67" s="33" t="s">
        <v>236</v>
      </c>
      <c r="F67" s="34" t="s">
        <v>237</v>
      </c>
      <c r="G67" s="39" t="s">
        <v>238</v>
      </c>
      <c r="H67" s="39"/>
      <c r="I67" s="3"/>
      <c r="J67" s="3"/>
      <c r="K67" s="3"/>
      <c r="L67" s="3"/>
      <c r="M67" s="3"/>
      <c r="N67" s="3"/>
      <c r="O67" s="3"/>
      <c r="P67" s="3"/>
      <c r="Q67" s="3"/>
      <c r="R67" s="3"/>
      <c r="S67" s="3"/>
      <c r="T67" s="3"/>
      <c r="U67" s="3"/>
      <c r="V67" s="3"/>
      <c r="W67" s="3"/>
    </row>
    <row r="68" ht="81.75" customHeight="1">
      <c r="A68" s="42"/>
      <c r="B68" s="24">
        <v>64.0</v>
      </c>
      <c r="C68" s="37" t="s">
        <v>166</v>
      </c>
      <c r="D68" s="27" t="s">
        <v>232</v>
      </c>
      <c r="E68" s="34" t="s">
        <v>239</v>
      </c>
      <c r="F68" s="34" t="s">
        <v>240</v>
      </c>
      <c r="G68" s="39" t="s">
        <v>241</v>
      </c>
      <c r="H68" s="39"/>
      <c r="I68" s="3"/>
      <c r="J68" s="3"/>
      <c r="K68" s="3"/>
      <c r="L68" s="3"/>
      <c r="M68" s="3"/>
      <c r="N68" s="3"/>
      <c r="O68" s="3"/>
      <c r="P68" s="3"/>
      <c r="Q68" s="3"/>
      <c r="R68" s="3"/>
      <c r="S68" s="3"/>
      <c r="T68" s="3"/>
      <c r="U68" s="3"/>
      <c r="V68" s="3"/>
      <c r="W68" s="3"/>
    </row>
    <row r="69" ht="74.25" customHeight="1">
      <c r="A69" s="42"/>
      <c r="B69" s="24">
        <v>65.0</v>
      </c>
      <c r="C69" s="39" t="s">
        <v>242</v>
      </c>
      <c r="D69" s="72" t="s">
        <v>243</v>
      </c>
      <c r="E69" s="67" t="s">
        <v>244</v>
      </c>
      <c r="F69" s="60" t="s">
        <v>154</v>
      </c>
      <c r="G69" s="27" t="s">
        <v>245</v>
      </c>
      <c r="H69" s="40" t="s">
        <v>246</v>
      </c>
      <c r="I69" s="73"/>
      <c r="J69" s="73"/>
      <c r="K69" s="73"/>
      <c r="L69" s="73"/>
      <c r="M69" s="73"/>
      <c r="N69" s="73"/>
      <c r="O69" s="73"/>
      <c r="P69" s="73"/>
      <c r="Q69" s="73"/>
      <c r="R69" s="73"/>
      <c r="S69" s="73"/>
      <c r="T69" s="73"/>
      <c r="U69" s="73"/>
      <c r="V69" s="73"/>
      <c r="W69" s="73"/>
    </row>
    <row r="70" ht="77.25" customHeight="1">
      <c r="A70" s="42"/>
      <c r="B70" s="24">
        <v>66.0</v>
      </c>
      <c r="C70" s="37" t="s">
        <v>166</v>
      </c>
      <c r="D70" s="72" t="s">
        <v>247</v>
      </c>
      <c r="E70" s="74" t="s">
        <v>248</v>
      </c>
      <c r="F70" s="39"/>
      <c r="G70" s="39" t="s">
        <v>249</v>
      </c>
      <c r="H70" s="39"/>
      <c r="I70" s="73"/>
      <c r="J70" s="73"/>
      <c r="K70" s="73"/>
      <c r="L70" s="73"/>
      <c r="M70" s="73"/>
      <c r="N70" s="73"/>
      <c r="O70" s="73"/>
      <c r="P70" s="73"/>
      <c r="Q70" s="73"/>
      <c r="R70" s="73"/>
      <c r="S70" s="73"/>
      <c r="T70" s="73"/>
      <c r="U70" s="73"/>
      <c r="V70" s="73"/>
      <c r="W70" s="73"/>
    </row>
    <row r="71" ht="63.0" customHeight="1">
      <c r="A71" s="75"/>
      <c r="B71" s="24">
        <v>67.0</v>
      </c>
      <c r="C71" s="39" t="s">
        <v>242</v>
      </c>
      <c r="D71" s="72" t="s">
        <v>250</v>
      </c>
      <c r="E71" s="63" t="s">
        <v>251</v>
      </c>
      <c r="F71" s="64" t="s">
        <v>178</v>
      </c>
      <c r="G71" s="65" t="s">
        <v>252</v>
      </c>
      <c r="H71" s="39" t="s">
        <v>253</v>
      </c>
      <c r="I71" s="73"/>
      <c r="J71" s="73"/>
      <c r="K71" s="73"/>
      <c r="L71" s="73"/>
      <c r="M71" s="73"/>
      <c r="N71" s="73"/>
      <c r="O71" s="73"/>
      <c r="P71" s="73"/>
      <c r="Q71" s="73"/>
      <c r="R71" s="73"/>
      <c r="S71" s="73"/>
      <c r="T71" s="73"/>
      <c r="U71" s="73"/>
      <c r="V71" s="73"/>
      <c r="W71" s="73"/>
    </row>
    <row r="72" ht="75.75" customHeight="1">
      <c r="A72" s="76"/>
      <c r="B72" s="24">
        <v>68.0</v>
      </c>
      <c r="C72" s="37" t="s">
        <v>166</v>
      </c>
      <c r="D72" s="72" t="s">
        <v>144</v>
      </c>
      <c r="E72" s="74" t="s">
        <v>254</v>
      </c>
      <c r="F72" s="39"/>
      <c r="G72" s="39" t="s">
        <v>255</v>
      </c>
      <c r="H72" s="39"/>
      <c r="I72" s="73"/>
      <c r="J72" s="73"/>
      <c r="K72" s="73"/>
      <c r="L72" s="73"/>
      <c r="M72" s="73"/>
      <c r="N72" s="73"/>
      <c r="O72" s="73"/>
      <c r="P72" s="73"/>
      <c r="Q72" s="73"/>
      <c r="R72" s="73"/>
      <c r="S72" s="73"/>
      <c r="T72" s="73"/>
      <c r="U72" s="73"/>
      <c r="V72" s="73"/>
      <c r="W72" s="73"/>
    </row>
    <row r="73" ht="77.25" customHeight="1">
      <c r="A73" s="76"/>
      <c r="B73" s="24">
        <v>69.0</v>
      </c>
      <c r="C73" s="39" t="s">
        <v>242</v>
      </c>
      <c r="D73" s="72" t="s">
        <v>256</v>
      </c>
      <c r="E73" s="74"/>
      <c r="F73" s="39"/>
      <c r="G73" s="39" t="s">
        <v>257</v>
      </c>
      <c r="H73" s="39" t="s">
        <v>258</v>
      </c>
      <c r="I73" s="73"/>
      <c r="J73" s="73"/>
      <c r="K73" s="73"/>
      <c r="L73" s="73"/>
      <c r="M73" s="73"/>
      <c r="N73" s="73"/>
      <c r="O73" s="73"/>
      <c r="P73" s="73"/>
      <c r="Q73" s="73"/>
      <c r="R73" s="73"/>
      <c r="S73" s="73"/>
      <c r="T73" s="73"/>
      <c r="U73" s="73"/>
      <c r="V73" s="73"/>
      <c r="W73" s="73"/>
    </row>
    <row r="74" ht="82.5" customHeight="1">
      <c r="A74" s="76"/>
      <c r="B74" s="24">
        <v>70.0</v>
      </c>
      <c r="C74" s="37" t="s">
        <v>166</v>
      </c>
      <c r="D74" s="72" t="s">
        <v>259</v>
      </c>
      <c r="E74" s="74" t="s">
        <v>260</v>
      </c>
      <c r="F74" s="39"/>
      <c r="G74" s="39" t="s">
        <v>261</v>
      </c>
      <c r="H74" s="40" t="s">
        <v>50</v>
      </c>
      <c r="I74" s="73"/>
      <c r="J74" s="73"/>
      <c r="K74" s="73"/>
      <c r="L74" s="73"/>
      <c r="M74" s="73"/>
      <c r="N74" s="73"/>
      <c r="O74" s="73"/>
      <c r="P74" s="73"/>
      <c r="Q74" s="73"/>
      <c r="R74" s="73"/>
      <c r="S74" s="73"/>
      <c r="T74" s="73"/>
      <c r="U74" s="73"/>
      <c r="V74" s="73"/>
      <c r="W74" s="73"/>
    </row>
    <row r="75" ht="45.75" customHeight="1">
      <c r="A75" s="76"/>
      <c r="B75" s="24">
        <v>71.0</v>
      </c>
      <c r="C75" s="43" t="s">
        <v>262</v>
      </c>
      <c r="D75" s="77"/>
      <c r="E75" s="78" t="s">
        <v>263</v>
      </c>
      <c r="F75" s="50"/>
      <c r="G75" s="39"/>
      <c r="H75" s="40" t="s">
        <v>50</v>
      </c>
      <c r="I75" s="73"/>
      <c r="J75" s="73"/>
      <c r="K75" s="73"/>
      <c r="L75" s="73"/>
      <c r="M75" s="73"/>
      <c r="N75" s="73"/>
      <c r="O75" s="73"/>
      <c r="P75" s="73"/>
      <c r="Q75" s="73"/>
      <c r="R75" s="73"/>
      <c r="S75" s="73"/>
      <c r="T75" s="73"/>
      <c r="U75" s="73"/>
      <c r="V75" s="73"/>
      <c r="W75" s="73"/>
    </row>
    <row r="76" ht="61.5" customHeight="1">
      <c r="A76" s="76"/>
      <c r="B76" s="24">
        <v>72.0</v>
      </c>
      <c r="C76" s="43" t="s">
        <v>262</v>
      </c>
      <c r="D76" s="77"/>
      <c r="E76" s="79" t="s">
        <v>264</v>
      </c>
      <c r="F76" s="50"/>
      <c r="G76" s="80" t="s">
        <v>265</v>
      </c>
      <c r="H76" s="40" t="s">
        <v>50</v>
      </c>
      <c r="I76" s="73"/>
      <c r="J76" s="73"/>
      <c r="K76" s="73"/>
      <c r="L76" s="73"/>
      <c r="M76" s="73"/>
      <c r="N76" s="73"/>
      <c r="O76" s="73"/>
      <c r="P76" s="73"/>
      <c r="Q76" s="73"/>
      <c r="R76" s="73"/>
      <c r="S76" s="73"/>
      <c r="T76" s="73"/>
      <c r="U76" s="73"/>
      <c r="V76" s="73"/>
      <c r="W76" s="73"/>
    </row>
    <row r="77" ht="21.75" customHeight="1">
      <c r="A77" s="81"/>
      <c r="B77" s="3"/>
      <c r="C77" s="3"/>
      <c r="D77" s="3"/>
      <c r="E77" s="3"/>
      <c r="F77" s="3"/>
      <c r="G77" s="3"/>
      <c r="H77" s="3"/>
      <c r="I77" s="3"/>
      <c r="J77" s="3"/>
      <c r="K77" s="3"/>
      <c r="L77" s="3"/>
      <c r="M77" s="3"/>
      <c r="N77" s="3"/>
      <c r="O77" s="3"/>
      <c r="P77" s="3"/>
      <c r="Q77" s="3"/>
      <c r="R77" s="3"/>
      <c r="S77" s="3"/>
      <c r="T77" s="3"/>
      <c r="U77" s="3"/>
      <c r="V77" s="3"/>
      <c r="W77" s="3"/>
    </row>
    <row r="78" ht="14.25" customHeight="1">
      <c r="A78" s="81"/>
      <c r="B78" s="3"/>
      <c r="C78" s="3"/>
      <c r="D78" s="3"/>
      <c r="E78" s="3"/>
      <c r="F78" s="3"/>
      <c r="G78" s="3"/>
      <c r="H78" s="3"/>
      <c r="I78" s="3"/>
      <c r="J78" s="3"/>
      <c r="K78" s="3"/>
      <c r="L78" s="3"/>
      <c r="M78" s="3"/>
      <c r="N78" s="3"/>
      <c r="O78" s="3"/>
      <c r="P78" s="3"/>
      <c r="Q78" s="3"/>
      <c r="R78" s="3"/>
      <c r="S78" s="3"/>
      <c r="T78" s="3"/>
      <c r="U78" s="3"/>
      <c r="V78" s="3"/>
      <c r="W78" s="3"/>
    </row>
    <row r="79" ht="14.25" customHeight="1">
      <c r="A79" s="81"/>
      <c r="B79" s="3"/>
      <c r="C79" s="3"/>
      <c r="D79" s="3"/>
      <c r="E79" s="3"/>
      <c r="F79" s="3"/>
      <c r="G79" s="3"/>
      <c r="H79" s="3"/>
      <c r="I79" s="3"/>
      <c r="J79" s="3"/>
      <c r="K79" s="3"/>
      <c r="L79" s="3"/>
      <c r="M79" s="3"/>
      <c r="N79" s="3"/>
      <c r="O79" s="3"/>
      <c r="P79" s="3"/>
      <c r="Q79" s="3"/>
      <c r="R79" s="3"/>
      <c r="S79" s="3"/>
      <c r="T79" s="3"/>
      <c r="U79" s="3"/>
      <c r="V79" s="3"/>
      <c r="W79" s="3"/>
    </row>
    <row r="80" ht="14.25" customHeight="1">
      <c r="A80" s="81"/>
      <c r="B80" s="3"/>
      <c r="C80" s="3"/>
      <c r="D80" s="3"/>
      <c r="E80" s="3"/>
      <c r="F80" s="3"/>
      <c r="G80" s="3"/>
      <c r="H80" s="3"/>
      <c r="I80" s="3"/>
      <c r="J80" s="3"/>
      <c r="K80" s="3"/>
      <c r="L80" s="3"/>
      <c r="M80" s="3"/>
      <c r="N80" s="3"/>
      <c r="O80" s="3"/>
      <c r="P80" s="3"/>
      <c r="Q80" s="3"/>
      <c r="R80" s="3"/>
      <c r="S80" s="3"/>
      <c r="T80" s="3"/>
      <c r="U80" s="3"/>
      <c r="V80" s="3"/>
      <c r="W80" s="3"/>
    </row>
    <row r="81" ht="14.25" customHeight="1">
      <c r="A81" s="81"/>
      <c r="B81" s="3"/>
      <c r="C81" s="3"/>
      <c r="D81" s="3"/>
      <c r="E81" s="3"/>
      <c r="F81" s="3"/>
      <c r="G81" s="3"/>
      <c r="H81" s="3"/>
      <c r="I81" s="3"/>
      <c r="J81" s="3"/>
      <c r="K81" s="3"/>
      <c r="L81" s="3"/>
      <c r="M81" s="3"/>
      <c r="N81" s="3"/>
      <c r="O81" s="3"/>
      <c r="P81" s="3"/>
      <c r="Q81" s="3"/>
      <c r="R81" s="3"/>
      <c r="S81" s="3"/>
      <c r="T81" s="3"/>
      <c r="U81" s="3"/>
      <c r="V81" s="3"/>
      <c r="W81" s="3"/>
    </row>
    <row r="82" ht="14.25" customHeight="1">
      <c r="A82" s="81"/>
      <c r="B82" s="3"/>
      <c r="C82" s="3"/>
      <c r="D82" s="3"/>
      <c r="E82" s="3"/>
      <c r="F82" s="3"/>
      <c r="G82" s="3"/>
      <c r="H82" s="3"/>
      <c r="I82" s="3"/>
      <c r="J82" s="3"/>
      <c r="K82" s="3"/>
      <c r="L82" s="3"/>
      <c r="M82" s="3"/>
      <c r="N82" s="3"/>
      <c r="O82" s="3"/>
      <c r="P82" s="3"/>
      <c r="Q82" s="3"/>
      <c r="R82" s="3"/>
      <c r="S82" s="3"/>
      <c r="T82" s="3"/>
      <c r="U82" s="3"/>
      <c r="V82" s="3"/>
      <c r="W82" s="3"/>
    </row>
    <row r="83" ht="14.25" customHeight="1">
      <c r="A83" s="81"/>
      <c r="B83" s="3"/>
      <c r="C83" s="3"/>
      <c r="D83" s="3"/>
      <c r="E83" s="3"/>
      <c r="F83" s="3"/>
      <c r="G83" s="3"/>
      <c r="H83" s="3"/>
      <c r="I83" s="3"/>
      <c r="J83" s="3"/>
      <c r="K83" s="3"/>
      <c r="L83" s="3"/>
      <c r="M83" s="3"/>
      <c r="N83" s="3"/>
      <c r="O83" s="3"/>
      <c r="P83" s="3"/>
      <c r="Q83" s="3"/>
      <c r="R83" s="3"/>
      <c r="S83" s="3"/>
      <c r="T83" s="3"/>
      <c r="U83" s="3"/>
      <c r="V83" s="3"/>
      <c r="W83" s="3"/>
    </row>
    <row r="84" ht="14.25" customHeight="1">
      <c r="A84" s="81"/>
      <c r="B84" s="3"/>
      <c r="C84" s="3"/>
      <c r="D84" s="3"/>
      <c r="E84" s="3"/>
      <c r="F84" s="3"/>
      <c r="G84" s="3"/>
      <c r="H84" s="3"/>
      <c r="I84" s="3"/>
      <c r="J84" s="3"/>
      <c r="K84" s="3"/>
      <c r="L84" s="3"/>
      <c r="M84" s="3"/>
      <c r="N84" s="3"/>
      <c r="O84" s="3"/>
      <c r="P84" s="3"/>
      <c r="Q84" s="3"/>
      <c r="R84" s="3"/>
      <c r="S84" s="3"/>
      <c r="T84" s="3"/>
      <c r="U84" s="3"/>
      <c r="V84" s="3"/>
      <c r="W84" s="3"/>
    </row>
    <row r="85" ht="14.25" customHeight="1">
      <c r="A85" s="81"/>
      <c r="B85" s="3"/>
      <c r="C85" s="3"/>
      <c r="D85" s="3"/>
      <c r="E85" s="3"/>
      <c r="F85" s="3"/>
      <c r="G85" s="3"/>
      <c r="H85" s="3"/>
      <c r="I85" s="3"/>
      <c r="J85" s="3"/>
      <c r="K85" s="3"/>
      <c r="L85" s="3"/>
      <c r="M85" s="3"/>
      <c r="N85" s="3"/>
      <c r="O85" s="3"/>
      <c r="P85" s="3"/>
      <c r="Q85" s="3"/>
      <c r="R85" s="3"/>
      <c r="S85" s="3"/>
      <c r="T85" s="3"/>
      <c r="U85" s="3"/>
      <c r="V85" s="3"/>
      <c r="W85" s="3"/>
    </row>
    <row r="86" ht="14.25" customHeight="1">
      <c r="A86" s="81"/>
      <c r="B86" s="3"/>
      <c r="C86" s="3"/>
      <c r="D86" s="3"/>
      <c r="E86" s="3"/>
      <c r="F86" s="3"/>
      <c r="G86" s="3"/>
      <c r="H86" s="3"/>
      <c r="I86" s="3"/>
      <c r="J86" s="3"/>
      <c r="K86" s="3"/>
      <c r="L86" s="3"/>
      <c r="M86" s="3"/>
      <c r="N86" s="3"/>
      <c r="O86" s="3"/>
      <c r="P86" s="3"/>
      <c r="Q86" s="3"/>
      <c r="R86" s="3"/>
      <c r="S86" s="3"/>
      <c r="T86" s="3"/>
      <c r="U86" s="3"/>
      <c r="V86" s="3"/>
      <c r="W86" s="3"/>
    </row>
    <row r="87" ht="14.25" customHeight="1">
      <c r="A87" s="81"/>
      <c r="B87" s="3"/>
      <c r="C87" s="3"/>
      <c r="D87" s="3"/>
      <c r="E87" s="3"/>
      <c r="F87" s="3"/>
      <c r="G87" s="3"/>
      <c r="H87" s="3"/>
      <c r="I87" s="3"/>
      <c r="J87" s="3"/>
      <c r="K87" s="3"/>
      <c r="L87" s="3"/>
      <c r="M87" s="3"/>
      <c r="N87" s="3"/>
      <c r="O87" s="3"/>
      <c r="P87" s="3"/>
      <c r="Q87" s="3"/>
      <c r="R87" s="3"/>
      <c r="S87" s="3"/>
      <c r="T87" s="3"/>
      <c r="U87" s="3"/>
      <c r="V87" s="3"/>
      <c r="W87" s="3"/>
    </row>
    <row r="88" ht="14.25" customHeight="1">
      <c r="A88" s="81"/>
      <c r="B88" s="3"/>
      <c r="C88" s="3"/>
      <c r="D88" s="3"/>
      <c r="E88" s="3"/>
      <c r="F88" s="3"/>
      <c r="G88" s="3"/>
      <c r="H88" s="3"/>
      <c r="I88" s="3"/>
      <c r="J88" s="3"/>
      <c r="K88" s="3"/>
      <c r="L88" s="3"/>
      <c r="M88" s="3"/>
      <c r="N88" s="3"/>
      <c r="O88" s="3"/>
      <c r="P88" s="3"/>
      <c r="Q88" s="3"/>
      <c r="R88" s="3"/>
      <c r="S88" s="3"/>
      <c r="T88" s="3"/>
      <c r="U88" s="3"/>
      <c r="V88" s="3"/>
      <c r="W88" s="3"/>
    </row>
    <row r="89" ht="14.25" customHeight="1">
      <c r="A89" s="81"/>
      <c r="B89" s="3"/>
      <c r="C89" s="3"/>
      <c r="D89" s="3"/>
      <c r="E89" s="3"/>
      <c r="F89" s="3"/>
      <c r="G89" s="3"/>
      <c r="H89" s="3"/>
      <c r="I89" s="3"/>
      <c r="J89" s="3"/>
      <c r="K89" s="3"/>
      <c r="L89" s="3"/>
      <c r="M89" s="3"/>
      <c r="N89" s="3"/>
      <c r="O89" s="3"/>
      <c r="P89" s="3"/>
      <c r="Q89" s="3"/>
      <c r="R89" s="3"/>
      <c r="S89" s="3"/>
      <c r="T89" s="3"/>
      <c r="U89" s="3"/>
      <c r="V89" s="3"/>
      <c r="W89" s="3"/>
    </row>
    <row r="90" ht="14.25" customHeight="1">
      <c r="A90" s="81"/>
      <c r="B90" s="3"/>
      <c r="C90" s="3"/>
      <c r="D90" s="3"/>
      <c r="E90" s="3"/>
      <c r="F90" s="3"/>
      <c r="G90" s="3"/>
      <c r="H90" s="3"/>
      <c r="I90" s="3"/>
      <c r="J90" s="3"/>
      <c r="K90" s="3"/>
      <c r="L90" s="3"/>
      <c r="M90" s="3"/>
      <c r="N90" s="3"/>
      <c r="O90" s="3"/>
      <c r="P90" s="3"/>
      <c r="Q90" s="3"/>
      <c r="R90" s="3"/>
      <c r="S90" s="3"/>
      <c r="T90" s="3"/>
      <c r="U90" s="3"/>
      <c r="V90" s="3"/>
      <c r="W90" s="3"/>
    </row>
    <row r="91" ht="14.25" customHeight="1">
      <c r="A91" s="81"/>
      <c r="B91" s="3"/>
      <c r="C91" s="3"/>
      <c r="D91" s="3"/>
      <c r="E91" s="3"/>
      <c r="F91" s="3"/>
      <c r="G91" s="3"/>
      <c r="H91" s="3"/>
      <c r="I91" s="3"/>
      <c r="J91" s="3"/>
      <c r="K91" s="3"/>
      <c r="L91" s="3"/>
      <c r="M91" s="3"/>
      <c r="N91" s="3"/>
      <c r="O91" s="3"/>
      <c r="P91" s="3"/>
      <c r="Q91" s="3"/>
      <c r="R91" s="3"/>
      <c r="S91" s="3"/>
      <c r="T91" s="3"/>
      <c r="U91" s="3"/>
      <c r="V91" s="3"/>
      <c r="W91" s="3"/>
    </row>
    <row r="92" ht="14.25" customHeight="1">
      <c r="A92" s="81"/>
      <c r="B92" s="3"/>
      <c r="C92" s="3"/>
      <c r="D92" s="3"/>
      <c r="E92" s="3"/>
      <c r="F92" s="3"/>
      <c r="G92" s="3"/>
      <c r="H92" s="3"/>
      <c r="I92" s="3"/>
      <c r="J92" s="3"/>
      <c r="K92" s="3"/>
      <c r="L92" s="3"/>
      <c r="M92" s="3"/>
      <c r="N92" s="3"/>
      <c r="O92" s="3"/>
      <c r="P92" s="3"/>
      <c r="Q92" s="3"/>
      <c r="R92" s="3"/>
      <c r="S92" s="3"/>
      <c r="T92" s="3"/>
      <c r="U92" s="3"/>
      <c r="V92" s="3"/>
      <c r="W92" s="3"/>
    </row>
    <row r="93" ht="14.25" customHeight="1">
      <c r="A93" s="81"/>
      <c r="B93" s="3"/>
      <c r="C93" s="3"/>
      <c r="D93" s="3"/>
      <c r="E93" s="3"/>
      <c r="F93" s="3"/>
      <c r="G93" s="3"/>
      <c r="H93" s="3"/>
      <c r="I93" s="3"/>
      <c r="J93" s="3"/>
      <c r="K93" s="3"/>
      <c r="L93" s="3"/>
      <c r="M93" s="3"/>
      <c r="N93" s="3"/>
      <c r="O93" s="3"/>
      <c r="P93" s="3"/>
      <c r="Q93" s="3"/>
      <c r="R93" s="3"/>
      <c r="S93" s="3"/>
      <c r="T93" s="3"/>
      <c r="U93" s="3"/>
      <c r="V93" s="3"/>
      <c r="W93" s="3"/>
    </row>
    <row r="94" ht="14.25" customHeight="1">
      <c r="A94" s="81"/>
      <c r="B94" s="3"/>
      <c r="C94" s="3"/>
      <c r="D94" s="3"/>
      <c r="E94" s="3"/>
      <c r="F94" s="3"/>
      <c r="G94" s="3"/>
      <c r="H94" s="3"/>
      <c r="I94" s="3"/>
      <c r="J94" s="3"/>
      <c r="K94" s="3"/>
      <c r="L94" s="3"/>
      <c r="M94" s="3"/>
      <c r="N94" s="3"/>
      <c r="O94" s="3"/>
      <c r="P94" s="3"/>
      <c r="Q94" s="3"/>
      <c r="R94" s="3"/>
      <c r="S94" s="3"/>
      <c r="T94" s="3"/>
      <c r="U94" s="3"/>
      <c r="V94" s="3"/>
      <c r="W94" s="3"/>
    </row>
    <row r="95" ht="14.25" customHeight="1">
      <c r="A95" s="81"/>
      <c r="B95" s="3"/>
      <c r="C95" s="3"/>
      <c r="D95" s="3"/>
      <c r="E95" s="3"/>
      <c r="F95" s="3"/>
      <c r="G95" s="3"/>
      <c r="H95" s="3"/>
      <c r="I95" s="3"/>
      <c r="J95" s="3"/>
      <c r="K95" s="3"/>
      <c r="L95" s="3"/>
      <c r="M95" s="3"/>
      <c r="N95" s="3"/>
      <c r="O95" s="3"/>
      <c r="P95" s="3"/>
      <c r="Q95" s="3"/>
      <c r="R95" s="3"/>
      <c r="S95" s="3"/>
      <c r="T95" s="3"/>
      <c r="U95" s="3"/>
      <c r="V95" s="3"/>
      <c r="W95" s="3"/>
    </row>
    <row r="96" ht="14.25" customHeight="1">
      <c r="A96" s="81"/>
      <c r="B96" s="3"/>
      <c r="C96" s="3"/>
      <c r="D96" s="3"/>
      <c r="E96" s="3"/>
      <c r="F96" s="3"/>
      <c r="G96" s="3"/>
      <c r="H96" s="3"/>
      <c r="I96" s="3"/>
      <c r="J96" s="3"/>
      <c r="K96" s="3"/>
      <c r="L96" s="3"/>
      <c r="M96" s="3"/>
      <c r="N96" s="3"/>
      <c r="O96" s="3"/>
      <c r="P96" s="3"/>
      <c r="Q96" s="3"/>
      <c r="R96" s="3"/>
      <c r="S96" s="3"/>
      <c r="T96" s="3"/>
      <c r="U96" s="3"/>
      <c r="V96" s="3"/>
      <c r="W96" s="3"/>
    </row>
    <row r="97" ht="14.25" customHeight="1">
      <c r="A97" s="81"/>
      <c r="B97" s="3"/>
      <c r="C97" s="3"/>
      <c r="D97" s="3"/>
      <c r="E97" s="3"/>
      <c r="F97" s="3"/>
      <c r="G97" s="3"/>
      <c r="H97" s="3"/>
      <c r="I97" s="3"/>
      <c r="J97" s="3"/>
      <c r="K97" s="3"/>
      <c r="L97" s="3"/>
      <c r="M97" s="3"/>
      <c r="N97" s="3"/>
      <c r="O97" s="3"/>
      <c r="P97" s="3"/>
      <c r="Q97" s="3"/>
      <c r="R97" s="3"/>
      <c r="S97" s="3"/>
      <c r="T97" s="3"/>
      <c r="U97" s="3"/>
      <c r="V97" s="3"/>
      <c r="W97" s="3"/>
    </row>
    <row r="98" ht="14.25" customHeight="1">
      <c r="A98" s="82"/>
      <c r="B98" s="83"/>
      <c r="C98" s="83"/>
      <c r="D98" s="83"/>
      <c r="E98" s="3"/>
      <c r="F98" s="3"/>
      <c r="G98" s="83"/>
      <c r="H98" s="83"/>
      <c r="I98" s="3"/>
      <c r="J98" s="3"/>
      <c r="K98" s="3"/>
      <c r="L98" s="3"/>
      <c r="M98" s="3"/>
      <c r="N98" s="3"/>
      <c r="O98" s="3"/>
      <c r="P98" s="3"/>
      <c r="Q98" s="3"/>
      <c r="R98" s="3"/>
      <c r="S98" s="3"/>
      <c r="T98" s="3"/>
      <c r="U98" s="3"/>
      <c r="V98" s="3"/>
      <c r="W98" s="3"/>
    </row>
    <row r="99" ht="14.25" customHeight="1">
      <c r="A99" s="82"/>
      <c r="B99" s="83"/>
      <c r="C99" s="83"/>
      <c r="D99" s="83"/>
      <c r="E99" s="3"/>
      <c r="F99" s="3"/>
      <c r="G99" s="83"/>
      <c r="H99" s="83"/>
      <c r="I99" s="3"/>
      <c r="J99" s="3"/>
      <c r="K99" s="3"/>
      <c r="L99" s="3"/>
      <c r="M99" s="3"/>
      <c r="N99" s="3"/>
      <c r="O99" s="3"/>
      <c r="P99" s="3"/>
      <c r="Q99" s="3"/>
      <c r="R99" s="3"/>
      <c r="S99" s="3"/>
      <c r="T99" s="3"/>
      <c r="U99" s="3"/>
      <c r="V99" s="3"/>
      <c r="W99" s="3"/>
    </row>
    <row r="100" ht="14.25" customHeight="1">
      <c r="A100" s="82"/>
      <c r="B100" s="83"/>
      <c r="C100" s="83"/>
      <c r="D100" s="83"/>
      <c r="E100" s="3"/>
      <c r="F100" s="3"/>
      <c r="G100" s="83"/>
      <c r="H100" s="83"/>
      <c r="I100" s="3"/>
      <c r="J100" s="3"/>
      <c r="K100" s="3"/>
      <c r="L100" s="3"/>
      <c r="M100" s="3"/>
      <c r="N100" s="3"/>
      <c r="O100" s="3"/>
      <c r="P100" s="3"/>
      <c r="Q100" s="3"/>
      <c r="R100" s="3"/>
      <c r="S100" s="3"/>
      <c r="T100" s="3"/>
      <c r="U100" s="3"/>
      <c r="V100" s="3"/>
      <c r="W100" s="3"/>
    </row>
    <row r="101" ht="14.25" customHeight="1">
      <c r="A101" s="82"/>
      <c r="B101" s="83"/>
      <c r="C101" s="83"/>
      <c r="D101" s="83"/>
      <c r="E101" s="3"/>
      <c r="F101" s="3"/>
      <c r="G101" s="83"/>
      <c r="H101" s="83"/>
      <c r="I101" s="3"/>
      <c r="J101" s="3"/>
      <c r="K101" s="3"/>
      <c r="L101" s="3"/>
      <c r="M101" s="3"/>
      <c r="N101" s="3"/>
      <c r="O101" s="3"/>
      <c r="P101" s="3"/>
      <c r="Q101" s="3"/>
      <c r="R101" s="3"/>
      <c r="S101" s="3"/>
      <c r="T101" s="3"/>
      <c r="U101" s="3"/>
      <c r="V101" s="3"/>
      <c r="W101" s="3"/>
    </row>
    <row r="102" ht="14.25" customHeight="1">
      <c r="A102" s="82"/>
      <c r="B102" s="83"/>
      <c r="C102" s="83"/>
      <c r="D102" s="83"/>
      <c r="E102" s="3"/>
      <c r="F102" s="3"/>
      <c r="G102" s="83"/>
      <c r="H102" s="83"/>
      <c r="I102" s="3"/>
      <c r="J102" s="3"/>
      <c r="K102" s="3"/>
      <c r="L102" s="3"/>
      <c r="M102" s="3"/>
      <c r="N102" s="3"/>
      <c r="O102" s="3"/>
      <c r="P102" s="3"/>
      <c r="Q102" s="3"/>
      <c r="R102" s="3"/>
      <c r="S102" s="3"/>
      <c r="T102" s="3"/>
      <c r="U102" s="3"/>
      <c r="V102" s="3"/>
      <c r="W102" s="3"/>
    </row>
    <row r="103" ht="14.25" customHeight="1">
      <c r="A103" s="82"/>
      <c r="B103" s="83"/>
      <c r="C103" s="83"/>
      <c r="D103" s="83"/>
      <c r="E103" s="3"/>
      <c r="F103" s="3"/>
      <c r="G103" s="83"/>
      <c r="H103" s="83"/>
      <c r="I103" s="3"/>
      <c r="J103" s="3"/>
      <c r="K103" s="3"/>
      <c r="L103" s="3"/>
      <c r="M103" s="3"/>
      <c r="N103" s="3"/>
      <c r="O103" s="3"/>
      <c r="P103" s="3"/>
      <c r="Q103" s="3"/>
      <c r="R103" s="3"/>
      <c r="S103" s="3"/>
      <c r="T103" s="3"/>
      <c r="U103" s="3"/>
      <c r="V103" s="3"/>
      <c r="W103" s="3"/>
    </row>
    <row r="104" ht="14.25" customHeight="1">
      <c r="A104" s="82"/>
      <c r="B104" s="83"/>
      <c r="C104" s="83"/>
      <c r="D104" s="83"/>
      <c r="E104" s="3"/>
      <c r="F104" s="3"/>
      <c r="G104" s="83"/>
      <c r="H104" s="83"/>
      <c r="I104" s="3"/>
      <c r="J104" s="3"/>
      <c r="K104" s="3"/>
      <c r="L104" s="3"/>
      <c r="M104" s="3"/>
      <c r="N104" s="3"/>
      <c r="O104" s="3"/>
      <c r="P104" s="3"/>
      <c r="Q104" s="3"/>
      <c r="R104" s="3"/>
      <c r="S104" s="3"/>
      <c r="T104" s="3"/>
      <c r="U104" s="3"/>
      <c r="V104" s="3"/>
      <c r="W104" s="3"/>
    </row>
    <row r="105" ht="14.25" customHeight="1">
      <c r="A105" s="82"/>
      <c r="B105" s="83"/>
      <c r="C105" s="83"/>
      <c r="D105" s="83"/>
      <c r="E105" s="3"/>
      <c r="F105" s="3"/>
      <c r="G105" s="83"/>
      <c r="H105" s="83"/>
      <c r="I105" s="3"/>
      <c r="J105" s="3"/>
      <c r="K105" s="3"/>
      <c r="L105" s="3"/>
      <c r="M105" s="3"/>
      <c r="N105" s="3"/>
      <c r="O105" s="3"/>
      <c r="P105" s="3"/>
      <c r="Q105" s="3"/>
      <c r="R105" s="3"/>
      <c r="S105" s="3"/>
      <c r="T105" s="3"/>
      <c r="U105" s="3"/>
      <c r="V105" s="3"/>
      <c r="W105" s="3"/>
    </row>
    <row r="106" ht="14.25" customHeight="1">
      <c r="A106" s="82"/>
      <c r="B106" s="83"/>
      <c r="C106" s="83"/>
      <c r="D106" s="83"/>
      <c r="E106" s="3"/>
      <c r="F106" s="3"/>
      <c r="G106" s="83"/>
      <c r="H106" s="83"/>
      <c r="I106" s="3"/>
      <c r="J106" s="3"/>
      <c r="K106" s="3"/>
      <c r="L106" s="3"/>
      <c r="M106" s="3"/>
      <c r="N106" s="3"/>
      <c r="O106" s="3"/>
      <c r="P106" s="3"/>
      <c r="Q106" s="3"/>
      <c r="R106" s="3"/>
      <c r="S106" s="3"/>
      <c r="T106" s="3"/>
      <c r="U106" s="3"/>
      <c r="V106" s="3"/>
      <c r="W106" s="3"/>
    </row>
    <row r="107" ht="14.25" customHeight="1">
      <c r="A107" s="82"/>
      <c r="B107" s="83"/>
      <c r="C107" s="83"/>
      <c r="D107" s="83"/>
      <c r="E107" s="3"/>
      <c r="F107" s="3"/>
      <c r="G107" s="83"/>
      <c r="H107" s="83"/>
      <c r="I107" s="3"/>
      <c r="J107" s="3"/>
      <c r="K107" s="3"/>
      <c r="L107" s="3"/>
      <c r="M107" s="3"/>
      <c r="N107" s="3"/>
      <c r="O107" s="3"/>
      <c r="P107" s="3"/>
      <c r="Q107" s="3"/>
      <c r="R107" s="3"/>
      <c r="S107" s="3"/>
      <c r="T107" s="3"/>
      <c r="U107" s="3"/>
      <c r="V107" s="3"/>
      <c r="W107" s="3"/>
    </row>
    <row r="108" ht="14.25" customHeight="1">
      <c r="A108" s="82"/>
      <c r="B108" s="83"/>
      <c r="C108" s="83"/>
      <c r="D108" s="83"/>
      <c r="E108" s="3"/>
      <c r="F108" s="3"/>
      <c r="G108" s="83"/>
      <c r="H108" s="83"/>
      <c r="I108" s="3"/>
      <c r="J108" s="3"/>
      <c r="K108" s="3"/>
      <c r="L108" s="3"/>
      <c r="M108" s="3"/>
      <c r="N108" s="3"/>
      <c r="O108" s="3"/>
      <c r="P108" s="3"/>
      <c r="Q108" s="3"/>
      <c r="R108" s="3"/>
      <c r="S108" s="3"/>
      <c r="T108" s="3"/>
      <c r="U108" s="3"/>
      <c r="V108" s="3"/>
      <c r="W108" s="3"/>
    </row>
    <row r="109" ht="14.25" customHeight="1">
      <c r="A109" s="82"/>
      <c r="B109" s="83"/>
      <c r="C109" s="83"/>
      <c r="D109" s="83"/>
      <c r="E109" s="3"/>
      <c r="F109" s="3"/>
      <c r="G109" s="83"/>
      <c r="H109" s="83"/>
      <c r="I109" s="3"/>
      <c r="J109" s="3"/>
      <c r="K109" s="3"/>
      <c r="L109" s="3"/>
      <c r="M109" s="3"/>
      <c r="N109" s="3"/>
      <c r="O109" s="3"/>
      <c r="P109" s="3"/>
      <c r="Q109" s="3"/>
      <c r="R109" s="3"/>
      <c r="S109" s="3"/>
      <c r="T109" s="3"/>
      <c r="U109" s="3"/>
      <c r="V109" s="3"/>
      <c r="W109" s="3"/>
    </row>
    <row r="110" ht="14.25" customHeight="1">
      <c r="A110" s="82"/>
      <c r="B110" s="83"/>
      <c r="C110" s="83"/>
      <c r="D110" s="83"/>
      <c r="E110" s="3"/>
      <c r="F110" s="3"/>
      <c r="G110" s="83"/>
      <c r="H110" s="83"/>
      <c r="I110" s="3"/>
      <c r="J110" s="3"/>
      <c r="K110" s="3"/>
      <c r="L110" s="3"/>
      <c r="M110" s="3"/>
      <c r="N110" s="3"/>
      <c r="O110" s="3"/>
      <c r="P110" s="3"/>
      <c r="Q110" s="3"/>
      <c r="R110" s="3"/>
      <c r="S110" s="3"/>
      <c r="T110" s="3"/>
      <c r="U110" s="3"/>
      <c r="V110" s="3"/>
      <c r="W110" s="3"/>
    </row>
    <row r="111" ht="14.25" customHeight="1">
      <c r="A111" s="82"/>
      <c r="B111" s="83"/>
      <c r="C111" s="83"/>
      <c r="D111" s="83"/>
      <c r="E111" s="3"/>
      <c r="F111" s="3"/>
      <c r="G111" s="83"/>
      <c r="H111" s="83"/>
      <c r="I111" s="3"/>
      <c r="J111" s="3"/>
      <c r="K111" s="3"/>
      <c r="L111" s="3"/>
      <c r="M111" s="3"/>
      <c r="N111" s="3"/>
      <c r="O111" s="3"/>
      <c r="P111" s="3"/>
      <c r="Q111" s="3"/>
      <c r="R111" s="3"/>
      <c r="S111" s="3"/>
      <c r="T111" s="3"/>
      <c r="U111" s="3"/>
      <c r="V111" s="3"/>
      <c r="W111" s="3"/>
    </row>
    <row r="112" ht="14.25" customHeight="1">
      <c r="A112" s="82"/>
      <c r="B112" s="83"/>
      <c r="C112" s="83"/>
      <c r="D112" s="83"/>
      <c r="E112" s="3"/>
      <c r="F112" s="3"/>
      <c r="G112" s="83"/>
      <c r="H112" s="83"/>
      <c r="I112" s="3"/>
      <c r="J112" s="3"/>
      <c r="K112" s="3"/>
      <c r="L112" s="3"/>
      <c r="M112" s="3"/>
      <c r="N112" s="3"/>
      <c r="O112" s="3"/>
      <c r="P112" s="3"/>
      <c r="Q112" s="3"/>
      <c r="R112" s="3"/>
      <c r="S112" s="3"/>
      <c r="T112" s="3"/>
      <c r="U112" s="3"/>
      <c r="V112" s="3"/>
      <c r="W112" s="3"/>
    </row>
    <row r="113" ht="14.25" customHeight="1">
      <c r="A113" s="82"/>
      <c r="B113" s="83"/>
      <c r="C113" s="83"/>
      <c r="D113" s="83"/>
      <c r="E113" s="3"/>
      <c r="F113" s="3"/>
      <c r="G113" s="83"/>
      <c r="H113" s="83"/>
      <c r="I113" s="3"/>
      <c r="J113" s="3"/>
      <c r="K113" s="3"/>
      <c r="L113" s="3"/>
      <c r="M113" s="3"/>
      <c r="N113" s="3"/>
      <c r="O113" s="3"/>
      <c r="P113" s="3"/>
      <c r="Q113" s="3"/>
      <c r="R113" s="3"/>
      <c r="S113" s="3"/>
      <c r="T113" s="3"/>
      <c r="U113" s="3"/>
      <c r="V113" s="3"/>
      <c r="W113" s="3"/>
    </row>
    <row r="114" ht="14.25" customHeight="1">
      <c r="A114" s="82"/>
      <c r="B114" s="83"/>
      <c r="C114" s="83"/>
      <c r="D114" s="83"/>
      <c r="E114" s="3"/>
      <c r="F114" s="3"/>
      <c r="G114" s="83"/>
      <c r="H114" s="83"/>
      <c r="I114" s="3"/>
      <c r="J114" s="3"/>
      <c r="K114" s="3"/>
      <c r="L114" s="3"/>
      <c r="M114" s="3"/>
      <c r="N114" s="3"/>
      <c r="O114" s="3"/>
      <c r="P114" s="3"/>
      <c r="Q114" s="3"/>
      <c r="R114" s="3"/>
      <c r="S114" s="3"/>
      <c r="T114" s="3"/>
      <c r="U114" s="3"/>
      <c r="V114" s="3"/>
      <c r="W114" s="3"/>
    </row>
    <row r="115" ht="14.25" customHeight="1">
      <c r="A115" s="82"/>
      <c r="B115" s="83"/>
      <c r="C115" s="83"/>
      <c r="D115" s="83"/>
      <c r="E115" s="3"/>
      <c r="F115" s="3"/>
      <c r="G115" s="83"/>
      <c r="H115" s="83"/>
      <c r="I115" s="3"/>
      <c r="J115" s="3"/>
      <c r="K115" s="3"/>
      <c r="L115" s="3"/>
      <c r="M115" s="3"/>
      <c r="N115" s="3"/>
      <c r="O115" s="3"/>
      <c r="P115" s="3"/>
      <c r="Q115" s="3"/>
      <c r="R115" s="3"/>
      <c r="S115" s="3"/>
      <c r="T115" s="3"/>
      <c r="U115" s="3"/>
      <c r="V115" s="3"/>
      <c r="W115" s="3"/>
    </row>
    <row r="116" ht="14.25" customHeight="1">
      <c r="A116" s="82"/>
      <c r="B116" s="83"/>
      <c r="C116" s="83"/>
      <c r="D116" s="83"/>
      <c r="E116" s="3"/>
      <c r="F116" s="3"/>
      <c r="G116" s="83"/>
      <c r="H116" s="83"/>
      <c r="I116" s="3"/>
      <c r="J116" s="3"/>
      <c r="K116" s="3"/>
      <c r="L116" s="3"/>
      <c r="M116" s="3"/>
      <c r="N116" s="3"/>
      <c r="O116" s="3"/>
      <c r="P116" s="3"/>
      <c r="Q116" s="3"/>
      <c r="R116" s="3"/>
      <c r="S116" s="3"/>
      <c r="T116" s="3"/>
      <c r="U116" s="3"/>
      <c r="V116" s="3"/>
      <c r="W116" s="3"/>
    </row>
    <row r="117" ht="14.25" customHeight="1">
      <c r="A117" s="82"/>
      <c r="B117" s="83"/>
      <c r="C117" s="83"/>
      <c r="D117" s="83"/>
      <c r="E117" s="3"/>
      <c r="F117" s="3"/>
      <c r="G117" s="83"/>
      <c r="H117" s="83"/>
      <c r="I117" s="3"/>
      <c r="J117" s="3"/>
      <c r="K117" s="3"/>
      <c r="L117" s="3"/>
      <c r="M117" s="3"/>
      <c r="N117" s="3"/>
      <c r="O117" s="3"/>
      <c r="P117" s="3"/>
      <c r="Q117" s="3"/>
      <c r="R117" s="3"/>
      <c r="S117" s="3"/>
      <c r="T117" s="3"/>
      <c r="U117" s="3"/>
      <c r="V117" s="3"/>
      <c r="W117" s="3"/>
    </row>
    <row r="118" ht="14.25" customHeight="1">
      <c r="A118" s="82"/>
      <c r="B118" s="83"/>
      <c r="C118" s="83"/>
      <c r="D118" s="83"/>
      <c r="E118" s="3"/>
      <c r="F118" s="3"/>
      <c r="G118" s="83"/>
      <c r="H118" s="83"/>
      <c r="I118" s="3"/>
      <c r="J118" s="3"/>
      <c r="K118" s="3"/>
      <c r="L118" s="3"/>
      <c r="M118" s="3"/>
      <c r="N118" s="3"/>
      <c r="O118" s="3"/>
      <c r="P118" s="3"/>
      <c r="Q118" s="3"/>
      <c r="R118" s="3"/>
      <c r="S118" s="3"/>
      <c r="T118" s="3"/>
      <c r="U118" s="3"/>
      <c r="V118" s="3"/>
      <c r="W118" s="3"/>
    </row>
    <row r="119" ht="14.25" customHeight="1">
      <c r="A119" s="82"/>
      <c r="B119" s="83"/>
      <c r="C119" s="83"/>
      <c r="D119" s="83"/>
      <c r="E119" s="3"/>
      <c r="F119" s="3"/>
      <c r="G119" s="83"/>
      <c r="H119" s="83"/>
      <c r="I119" s="3"/>
      <c r="J119" s="3"/>
      <c r="K119" s="3"/>
      <c r="L119" s="3"/>
      <c r="M119" s="3"/>
      <c r="N119" s="3"/>
      <c r="O119" s="3"/>
      <c r="P119" s="3"/>
      <c r="Q119" s="3"/>
      <c r="R119" s="3"/>
      <c r="S119" s="3"/>
      <c r="T119" s="3"/>
      <c r="U119" s="3"/>
      <c r="V119" s="3"/>
      <c r="W119" s="3"/>
    </row>
    <row r="120" ht="14.25" customHeight="1">
      <c r="A120" s="82"/>
      <c r="B120" s="83"/>
      <c r="C120" s="83"/>
      <c r="D120" s="83"/>
      <c r="E120" s="3"/>
      <c r="F120" s="3"/>
      <c r="G120" s="83"/>
      <c r="H120" s="83"/>
      <c r="I120" s="3"/>
      <c r="J120" s="3"/>
      <c r="K120" s="3"/>
      <c r="L120" s="3"/>
      <c r="M120" s="3"/>
      <c r="N120" s="3"/>
      <c r="O120" s="3"/>
      <c r="P120" s="3"/>
      <c r="Q120" s="3"/>
      <c r="R120" s="3"/>
      <c r="S120" s="3"/>
      <c r="T120" s="3"/>
      <c r="U120" s="3"/>
      <c r="V120" s="3"/>
      <c r="W120" s="3"/>
    </row>
    <row r="121" ht="14.25" customHeight="1">
      <c r="A121" s="82"/>
      <c r="B121" s="83"/>
      <c r="C121" s="83"/>
      <c r="D121" s="83"/>
      <c r="E121" s="3"/>
      <c r="F121" s="3"/>
      <c r="G121" s="83"/>
      <c r="H121" s="83"/>
      <c r="I121" s="3"/>
      <c r="J121" s="3"/>
      <c r="K121" s="3"/>
      <c r="L121" s="3"/>
      <c r="M121" s="3"/>
      <c r="N121" s="3"/>
      <c r="O121" s="3"/>
      <c r="P121" s="3"/>
      <c r="Q121" s="3"/>
      <c r="R121" s="3"/>
      <c r="S121" s="3"/>
      <c r="T121" s="3"/>
      <c r="U121" s="3"/>
      <c r="V121" s="3"/>
      <c r="W121" s="3"/>
    </row>
    <row r="122" ht="14.25" customHeight="1">
      <c r="A122" s="82"/>
      <c r="B122" s="83"/>
      <c r="C122" s="83"/>
      <c r="D122" s="83"/>
      <c r="E122" s="3"/>
      <c r="F122" s="3"/>
      <c r="G122" s="83"/>
      <c r="H122" s="83"/>
      <c r="I122" s="3"/>
      <c r="J122" s="3"/>
      <c r="K122" s="3"/>
      <c r="L122" s="3"/>
      <c r="M122" s="3"/>
      <c r="N122" s="3"/>
      <c r="O122" s="3"/>
      <c r="P122" s="3"/>
      <c r="Q122" s="3"/>
      <c r="R122" s="3"/>
      <c r="S122" s="3"/>
      <c r="T122" s="3"/>
      <c r="U122" s="3"/>
      <c r="V122" s="3"/>
      <c r="W122" s="3"/>
    </row>
    <row r="123" ht="14.25" customHeight="1">
      <c r="A123" s="82"/>
      <c r="B123" s="83"/>
      <c r="C123" s="83"/>
      <c r="D123" s="83"/>
      <c r="E123" s="3"/>
      <c r="F123" s="3"/>
      <c r="G123" s="83"/>
      <c r="H123" s="83"/>
      <c r="I123" s="3"/>
      <c r="J123" s="3"/>
      <c r="K123" s="3"/>
      <c r="L123" s="3"/>
      <c r="M123" s="3"/>
      <c r="N123" s="3"/>
      <c r="O123" s="3"/>
      <c r="P123" s="3"/>
      <c r="Q123" s="3"/>
      <c r="R123" s="3"/>
      <c r="S123" s="3"/>
      <c r="T123" s="3"/>
      <c r="U123" s="3"/>
      <c r="V123" s="3"/>
      <c r="W123" s="3"/>
    </row>
    <row r="124" ht="14.25" customHeight="1">
      <c r="A124" s="82"/>
      <c r="B124" s="83"/>
      <c r="C124" s="83"/>
      <c r="D124" s="83"/>
      <c r="E124" s="3"/>
      <c r="F124" s="3"/>
      <c r="G124" s="83"/>
      <c r="H124" s="83"/>
      <c r="I124" s="3"/>
      <c r="J124" s="3"/>
      <c r="K124" s="3"/>
      <c r="L124" s="3"/>
      <c r="M124" s="3"/>
      <c r="N124" s="3"/>
      <c r="O124" s="3"/>
      <c r="P124" s="3"/>
      <c r="Q124" s="3"/>
      <c r="R124" s="3"/>
      <c r="S124" s="3"/>
      <c r="T124" s="3"/>
      <c r="U124" s="3"/>
      <c r="V124" s="3"/>
      <c r="W124" s="3"/>
    </row>
    <row r="125" ht="14.25" customHeight="1">
      <c r="A125" s="82"/>
      <c r="B125" s="83"/>
      <c r="C125" s="83"/>
      <c r="D125" s="83"/>
      <c r="E125" s="3"/>
      <c r="F125" s="3"/>
      <c r="G125" s="83"/>
      <c r="H125" s="83"/>
      <c r="I125" s="3"/>
      <c r="J125" s="3"/>
      <c r="K125" s="3"/>
      <c r="L125" s="3"/>
      <c r="M125" s="3"/>
      <c r="N125" s="3"/>
      <c r="O125" s="3"/>
      <c r="P125" s="3"/>
      <c r="Q125" s="3"/>
      <c r="R125" s="3"/>
      <c r="S125" s="3"/>
      <c r="T125" s="3"/>
      <c r="U125" s="3"/>
      <c r="V125" s="3"/>
      <c r="W125" s="3"/>
    </row>
    <row r="126" ht="14.25" customHeight="1">
      <c r="A126" s="82"/>
      <c r="B126" s="83"/>
      <c r="C126" s="83"/>
      <c r="D126" s="83"/>
      <c r="E126" s="3"/>
      <c r="F126" s="3"/>
      <c r="G126" s="83"/>
      <c r="H126" s="83"/>
      <c r="I126" s="3"/>
      <c r="J126" s="3"/>
      <c r="K126" s="3"/>
      <c r="L126" s="3"/>
      <c r="M126" s="3"/>
      <c r="N126" s="3"/>
      <c r="O126" s="3"/>
      <c r="P126" s="3"/>
      <c r="Q126" s="3"/>
      <c r="R126" s="3"/>
      <c r="S126" s="3"/>
      <c r="T126" s="3"/>
      <c r="U126" s="3"/>
      <c r="V126" s="3"/>
      <c r="W126" s="3"/>
    </row>
    <row r="127" ht="14.25" customHeight="1">
      <c r="A127" s="82"/>
      <c r="B127" s="83"/>
      <c r="C127" s="83"/>
      <c r="D127" s="83"/>
      <c r="E127" s="3"/>
      <c r="F127" s="3"/>
      <c r="G127" s="83"/>
      <c r="H127" s="83"/>
      <c r="I127" s="3"/>
      <c r="J127" s="3"/>
      <c r="K127" s="3"/>
      <c r="L127" s="3"/>
      <c r="M127" s="3"/>
      <c r="N127" s="3"/>
      <c r="O127" s="3"/>
      <c r="P127" s="3"/>
      <c r="Q127" s="3"/>
      <c r="R127" s="3"/>
      <c r="S127" s="3"/>
      <c r="T127" s="3"/>
      <c r="U127" s="3"/>
      <c r="V127" s="3"/>
      <c r="W127" s="3"/>
    </row>
    <row r="128" ht="14.25" customHeight="1">
      <c r="A128" s="82"/>
      <c r="B128" s="83"/>
      <c r="C128" s="83"/>
      <c r="D128" s="83"/>
      <c r="E128" s="3"/>
      <c r="F128" s="3"/>
      <c r="G128" s="83"/>
      <c r="H128" s="83"/>
      <c r="I128" s="3"/>
      <c r="J128" s="3"/>
      <c r="K128" s="3"/>
      <c r="L128" s="3"/>
      <c r="M128" s="3"/>
      <c r="N128" s="3"/>
      <c r="O128" s="3"/>
      <c r="P128" s="3"/>
      <c r="Q128" s="3"/>
      <c r="R128" s="3"/>
      <c r="S128" s="3"/>
      <c r="T128" s="3"/>
      <c r="U128" s="3"/>
      <c r="V128" s="3"/>
      <c r="W128" s="3"/>
    </row>
    <row r="129" ht="14.25" customHeight="1">
      <c r="A129" s="82"/>
      <c r="B129" s="83"/>
      <c r="C129" s="83"/>
      <c r="D129" s="83"/>
      <c r="E129" s="3"/>
      <c r="F129" s="3"/>
      <c r="G129" s="83"/>
      <c r="H129" s="83"/>
      <c r="I129" s="3"/>
      <c r="J129" s="3"/>
      <c r="K129" s="3"/>
      <c r="L129" s="3"/>
      <c r="M129" s="3"/>
      <c r="N129" s="3"/>
      <c r="O129" s="3"/>
      <c r="P129" s="3"/>
      <c r="Q129" s="3"/>
      <c r="R129" s="3"/>
      <c r="S129" s="3"/>
      <c r="T129" s="3"/>
      <c r="U129" s="3"/>
      <c r="V129" s="3"/>
      <c r="W129" s="3"/>
    </row>
    <row r="130" ht="14.25" customHeight="1">
      <c r="A130" s="82"/>
      <c r="B130" s="83"/>
      <c r="C130" s="83"/>
      <c r="D130" s="83"/>
      <c r="E130" s="3"/>
      <c r="F130" s="3"/>
      <c r="G130" s="83"/>
      <c r="H130" s="83"/>
      <c r="I130" s="3"/>
      <c r="J130" s="3"/>
      <c r="K130" s="3"/>
      <c r="L130" s="3"/>
      <c r="M130" s="3"/>
      <c r="N130" s="3"/>
      <c r="O130" s="3"/>
      <c r="P130" s="3"/>
      <c r="Q130" s="3"/>
      <c r="R130" s="3"/>
      <c r="S130" s="3"/>
      <c r="T130" s="3"/>
      <c r="U130" s="3"/>
      <c r="V130" s="3"/>
      <c r="W130" s="3"/>
    </row>
    <row r="131" ht="14.25" customHeight="1">
      <c r="A131" s="82"/>
      <c r="B131" s="83"/>
      <c r="C131" s="83"/>
      <c r="D131" s="83"/>
      <c r="E131" s="3"/>
      <c r="F131" s="3"/>
      <c r="G131" s="83"/>
      <c r="H131" s="83"/>
      <c r="I131" s="3"/>
      <c r="J131" s="3"/>
      <c r="K131" s="3"/>
      <c r="L131" s="3"/>
      <c r="M131" s="3"/>
      <c r="N131" s="3"/>
      <c r="O131" s="3"/>
      <c r="P131" s="3"/>
      <c r="Q131" s="3"/>
      <c r="R131" s="3"/>
      <c r="S131" s="3"/>
      <c r="T131" s="3"/>
      <c r="U131" s="3"/>
      <c r="V131" s="3"/>
      <c r="W131" s="3"/>
    </row>
    <row r="132" ht="14.25" customHeight="1">
      <c r="A132" s="82"/>
      <c r="B132" s="83"/>
      <c r="C132" s="83"/>
      <c r="D132" s="83"/>
      <c r="E132" s="3"/>
      <c r="F132" s="3"/>
      <c r="G132" s="83"/>
      <c r="H132" s="83"/>
      <c r="I132" s="3"/>
      <c r="J132" s="3"/>
      <c r="K132" s="3"/>
      <c r="L132" s="3"/>
      <c r="M132" s="3"/>
      <c r="N132" s="3"/>
      <c r="O132" s="3"/>
      <c r="P132" s="3"/>
      <c r="Q132" s="3"/>
      <c r="R132" s="3"/>
      <c r="S132" s="3"/>
      <c r="T132" s="3"/>
      <c r="U132" s="3"/>
      <c r="V132" s="3"/>
      <c r="W132" s="3"/>
    </row>
    <row r="133" ht="14.25" customHeight="1">
      <c r="A133" s="82"/>
      <c r="B133" s="83"/>
      <c r="C133" s="83"/>
      <c r="D133" s="83"/>
      <c r="E133" s="3"/>
      <c r="F133" s="3"/>
      <c r="G133" s="83"/>
      <c r="H133" s="83"/>
      <c r="I133" s="3"/>
      <c r="J133" s="3"/>
      <c r="K133" s="3"/>
      <c r="L133" s="3"/>
      <c r="M133" s="3"/>
      <c r="N133" s="3"/>
      <c r="O133" s="3"/>
      <c r="P133" s="3"/>
      <c r="Q133" s="3"/>
      <c r="R133" s="3"/>
      <c r="S133" s="3"/>
      <c r="T133" s="3"/>
      <c r="U133" s="3"/>
      <c r="V133" s="3"/>
      <c r="W133" s="3"/>
    </row>
    <row r="134" ht="14.25" customHeight="1">
      <c r="A134" s="82"/>
      <c r="B134" s="83"/>
      <c r="C134" s="83"/>
      <c r="D134" s="83"/>
      <c r="E134" s="3"/>
      <c r="F134" s="3"/>
      <c r="G134" s="83"/>
      <c r="H134" s="83"/>
      <c r="I134" s="3"/>
      <c r="J134" s="3"/>
      <c r="K134" s="3"/>
      <c r="L134" s="3"/>
      <c r="M134" s="3"/>
      <c r="N134" s="3"/>
      <c r="O134" s="3"/>
      <c r="P134" s="3"/>
      <c r="Q134" s="3"/>
      <c r="R134" s="3"/>
      <c r="S134" s="3"/>
      <c r="T134" s="3"/>
      <c r="U134" s="3"/>
      <c r="V134" s="3"/>
      <c r="W134" s="3"/>
    </row>
    <row r="135" ht="14.25" customHeight="1">
      <c r="A135" s="82"/>
      <c r="B135" s="83"/>
      <c r="C135" s="83"/>
      <c r="D135" s="83"/>
      <c r="E135" s="3"/>
      <c r="F135" s="3"/>
      <c r="G135" s="83"/>
      <c r="H135" s="83"/>
      <c r="I135" s="3"/>
      <c r="J135" s="3"/>
      <c r="K135" s="3"/>
      <c r="L135" s="3"/>
      <c r="M135" s="3"/>
      <c r="N135" s="3"/>
      <c r="O135" s="3"/>
      <c r="P135" s="3"/>
      <c r="Q135" s="3"/>
      <c r="R135" s="3"/>
      <c r="S135" s="3"/>
      <c r="T135" s="3"/>
      <c r="U135" s="3"/>
      <c r="V135" s="3"/>
      <c r="W135" s="3"/>
    </row>
    <row r="136" ht="14.25" customHeight="1">
      <c r="A136" s="82"/>
      <c r="B136" s="83"/>
      <c r="C136" s="83"/>
      <c r="D136" s="83"/>
      <c r="E136" s="3"/>
      <c r="F136" s="3"/>
      <c r="G136" s="83"/>
      <c r="H136" s="83"/>
      <c r="I136" s="3"/>
      <c r="J136" s="3"/>
      <c r="K136" s="3"/>
      <c r="L136" s="3"/>
      <c r="M136" s="3"/>
      <c r="N136" s="3"/>
      <c r="O136" s="3"/>
      <c r="P136" s="3"/>
      <c r="Q136" s="3"/>
      <c r="R136" s="3"/>
      <c r="S136" s="3"/>
      <c r="T136" s="3"/>
      <c r="U136" s="3"/>
      <c r="V136" s="3"/>
      <c r="W136" s="3"/>
    </row>
    <row r="137" ht="14.25" customHeight="1">
      <c r="A137" s="82"/>
      <c r="B137" s="83"/>
      <c r="C137" s="83"/>
      <c r="D137" s="83"/>
      <c r="E137" s="3"/>
      <c r="F137" s="3"/>
      <c r="G137" s="83"/>
      <c r="H137" s="83"/>
      <c r="I137" s="3"/>
      <c r="J137" s="3"/>
      <c r="K137" s="3"/>
      <c r="L137" s="3"/>
      <c r="M137" s="3"/>
      <c r="N137" s="3"/>
      <c r="O137" s="3"/>
      <c r="P137" s="3"/>
      <c r="Q137" s="3"/>
      <c r="R137" s="3"/>
      <c r="S137" s="3"/>
      <c r="T137" s="3"/>
      <c r="U137" s="3"/>
      <c r="V137" s="3"/>
      <c r="W137" s="3"/>
    </row>
    <row r="138" ht="14.25" customHeight="1">
      <c r="A138" s="82"/>
      <c r="B138" s="83"/>
      <c r="C138" s="83"/>
      <c r="D138" s="83"/>
      <c r="E138" s="3"/>
      <c r="F138" s="3"/>
      <c r="G138" s="83"/>
      <c r="H138" s="83"/>
      <c r="I138" s="3"/>
      <c r="J138" s="3"/>
      <c r="K138" s="3"/>
      <c r="L138" s="3"/>
      <c r="M138" s="3"/>
      <c r="N138" s="3"/>
      <c r="O138" s="3"/>
      <c r="P138" s="3"/>
      <c r="Q138" s="3"/>
      <c r="R138" s="3"/>
      <c r="S138" s="3"/>
      <c r="T138" s="3"/>
      <c r="U138" s="3"/>
      <c r="V138" s="3"/>
      <c r="W138" s="3"/>
    </row>
    <row r="139" ht="14.25" customHeight="1">
      <c r="A139" s="82"/>
      <c r="B139" s="83"/>
      <c r="C139" s="83"/>
      <c r="D139" s="83"/>
      <c r="E139" s="3"/>
      <c r="F139" s="3"/>
      <c r="G139" s="83"/>
      <c r="H139" s="83"/>
      <c r="I139" s="3"/>
      <c r="J139" s="3"/>
      <c r="K139" s="3"/>
      <c r="L139" s="3"/>
      <c r="M139" s="3"/>
      <c r="N139" s="3"/>
      <c r="O139" s="3"/>
      <c r="P139" s="3"/>
      <c r="Q139" s="3"/>
      <c r="R139" s="3"/>
      <c r="S139" s="3"/>
      <c r="T139" s="3"/>
      <c r="U139" s="3"/>
      <c r="V139" s="3"/>
      <c r="W139" s="3"/>
    </row>
    <row r="140" ht="14.25" customHeight="1">
      <c r="A140" s="82"/>
      <c r="B140" s="83"/>
      <c r="C140" s="83"/>
      <c r="D140" s="83"/>
      <c r="E140" s="3"/>
      <c r="F140" s="3"/>
      <c r="G140" s="83"/>
      <c r="H140" s="83"/>
      <c r="I140" s="3"/>
      <c r="J140" s="3"/>
      <c r="K140" s="3"/>
      <c r="L140" s="3"/>
      <c r="M140" s="3"/>
      <c r="N140" s="3"/>
      <c r="O140" s="3"/>
      <c r="P140" s="3"/>
      <c r="Q140" s="3"/>
      <c r="R140" s="3"/>
      <c r="S140" s="3"/>
      <c r="T140" s="3"/>
      <c r="U140" s="3"/>
      <c r="V140" s="3"/>
      <c r="W140" s="3"/>
    </row>
    <row r="141" ht="14.25" customHeight="1">
      <c r="A141" s="82"/>
      <c r="B141" s="83"/>
      <c r="C141" s="83"/>
      <c r="D141" s="83"/>
      <c r="E141" s="3"/>
      <c r="F141" s="3"/>
      <c r="G141" s="83"/>
      <c r="H141" s="83"/>
      <c r="I141" s="3"/>
      <c r="J141" s="3"/>
      <c r="K141" s="3"/>
      <c r="L141" s="3"/>
      <c r="M141" s="3"/>
      <c r="N141" s="3"/>
      <c r="O141" s="3"/>
      <c r="P141" s="3"/>
      <c r="Q141" s="3"/>
      <c r="R141" s="3"/>
      <c r="S141" s="3"/>
      <c r="T141" s="3"/>
      <c r="U141" s="3"/>
      <c r="V141" s="3"/>
      <c r="W141" s="3"/>
    </row>
    <row r="142" ht="14.25" customHeight="1">
      <c r="A142" s="82"/>
      <c r="B142" s="83"/>
      <c r="C142" s="83"/>
      <c r="D142" s="83"/>
      <c r="E142" s="3"/>
      <c r="F142" s="3"/>
      <c r="G142" s="83"/>
      <c r="H142" s="83"/>
      <c r="I142" s="3"/>
      <c r="J142" s="3"/>
      <c r="K142" s="3"/>
      <c r="L142" s="3"/>
      <c r="M142" s="3"/>
      <c r="N142" s="3"/>
      <c r="O142" s="3"/>
      <c r="P142" s="3"/>
      <c r="Q142" s="3"/>
      <c r="R142" s="3"/>
      <c r="S142" s="3"/>
      <c r="T142" s="3"/>
      <c r="U142" s="3"/>
      <c r="V142" s="3"/>
      <c r="W142" s="3"/>
    </row>
    <row r="143" ht="14.25" customHeight="1">
      <c r="A143" s="82"/>
      <c r="B143" s="83"/>
      <c r="C143" s="83"/>
      <c r="D143" s="83"/>
      <c r="E143" s="3"/>
      <c r="F143" s="3"/>
      <c r="G143" s="83"/>
      <c r="H143" s="83"/>
      <c r="I143" s="3"/>
      <c r="J143" s="3"/>
      <c r="K143" s="3"/>
      <c r="L143" s="3"/>
      <c r="M143" s="3"/>
      <c r="N143" s="3"/>
      <c r="O143" s="3"/>
      <c r="P143" s="3"/>
      <c r="Q143" s="3"/>
      <c r="R143" s="3"/>
      <c r="S143" s="3"/>
      <c r="T143" s="3"/>
      <c r="U143" s="3"/>
      <c r="V143" s="3"/>
      <c r="W143" s="3"/>
    </row>
    <row r="144" ht="14.25" customHeight="1">
      <c r="A144" s="82"/>
      <c r="B144" s="83"/>
      <c r="C144" s="83"/>
      <c r="D144" s="83"/>
      <c r="E144" s="3"/>
      <c r="F144" s="3"/>
      <c r="G144" s="83"/>
      <c r="H144" s="83"/>
      <c r="I144" s="3"/>
      <c r="J144" s="3"/>
      <c r="K144" s="3"/>
      <c r="L144" s="3"/>
      <c r="M144" s="3"/>
      <c r="N144" s="3"/>
      <c r="O144" s="3"/>
      <c r="P144" s="3"/>
      <c r="Q144" s="3"/>
      <c r="R144" s="3"/>
      <c r="S144" s="3"/>
      <c r="T144" s="3"/>
      <c r="U144" s="3"/>
      <c r="V144" s="3"/>
      <c r="W144" s="3"/>
    </row>
    <row r="145" ht="14.25" customHeight="1">
      <c r="A145" s="82"/>
      <c r="B145" s="83"/>
      <c r="C145" s="83"/>
      <c r="D145" s="83"/>
      <c r="E145" s="3"/>
      <c r="F145" s="3"/>
      <c r="G145" s="83"/>
      <c r="H145" s="83"/>
      <c r="I145" s="3"/>
      <c r="J145" s="3"/>
      <c r="K145" s="3"/>
      <c r="L145" s="3"/>
      <c r="M145" s="3"/>
      <c r="N145" s="3"/>
      <c r="O145" s="3"/>
      <c r="P145" s="3"/>
      <c r="Q145" s="3"/>
      <c r="R145" s="3"/>
      <c r="S145" s="3"/>
      <c r="T145" s="3"/>
      <c r="U145" s="3"/>
      <c r="V145" s="3"/>
      <c r="W145" s="3"/>
    </row>
    <row r="146" ht="14.25" customHeight="1">
      <c r="A146" s="82"/>
      <c r="B146" s="83"/>
      <c r="C146" s="83"/>
      <c r="D146" s="83"/>
      <c r="E146" s="3"/>
      <c r="F146" s="3"/>
      <c r="G146" s="83"/>
      <c r="H146" s="83"/>
      <c r="I146" s="3"/>
      <c r="J146" s="3"/>
      <c r="K146" s="3"/>
      <c r="L146" s="3"/>
      <c r="M146" s="3"/>
      <c r="N146" s="3"/>
      <c r="O146" s="3"/>
      <c r="P146" s="3"/>
      <c r="Q146" s="3"/>
      <c r="R146" s="3"/>
      <c r="S146" s="3"/>
      <c r="T146" s="3"/>
      <c r="U146" s="3"/>
      <c r="V146" s="3"/>
      <c r="W146" s="3"/>
    </row>
    <row r="147" ht="14.25" customHeight="1">
      <c r="A147" s="82"/>
      <c r="B147" s="83"/>
      <c r="C147" s="83"/>
      <c r="D147" s="83"/>
      <c r="E147" s="3"/>
      <c r="F147" s="3"/>
      <c r="G147" s="83"/>
      <c r="H147" s="83"/>
      <c r="I147" s="3"/>
      <c r="J147" s="3"/>
      <c r="K147" s="3"/>
      <c r="L147" s="3"/>
      <c r="M147" s="3"/>
      <c r="N147" s="3"/>
      <c r="O147" s="3"/>
      <c r="P147" s="3"/>
      <c r="Q147" s="3"/>
      <c r="R147" s="3"/>
      <c r="S147" s="3"/>
      <c r="T147" s="3"/>
      <c r="U147" s="3"/>
      <c r="V147" s="3"/>
      <c r="W147" s="3"/>
    </row>
    <row r="148" ht="14.25" customHeight="1">
      <c r="A148" s="82"/>
      <c r="B148" s="83"/>
      <c r="C148" s="83"/>
      <c r="D148" s="83"/>
      <c r="E148" s="3"/>
      <c r="F148" s="3"/>
      <c r="G148" s="83"/>
      <c r="H148" s="83"/>
      <c r="I148" s="3"/>
      <c r="J148" s="3"/>
      <c r="K148" s="3"/>
      <c r="L148" s="3"/>
      <c r="M148" s="3"/>
      <c r="N148" s="3"/>
      <c r="O148" s="3"/>
      <c r="P148" s="3"/>
      <c r="Q148" s="3"/>
      <c r="R148" s="3"/>
      <c r="S148" s="3"/>
      <c r="T148" s="3"/>
      <c r="U148" s="3"/>
      <c r="V148" s="3"/>
      <c r="W148" s="3"/>
    </row>
    <row r="149" ht="14.25" customHeight="1">
      <c r="A149" s="82"/>
      <c r="B149" s="83"/>
      <c r="C149" s="83"/>
      <c r="D149" s="83"/>
      <c r="E149" s="3"/>
      <c r="F149" s="3"/>
      <c r="G149" s="83"/>
      <c r="H149" s="83"/>
      <c r="I149" s="3"/>
      <c r="J149" s="3"/>
      <c r="K149" s="3"/>
      <c r="L149" s="3"/>
      <c r="M149" s="3"/>
      <c r="N149" s="3"/>
      <c r="O149" s="3"/>
      <c r="P149" s="3"/>
      <c r="Q149" s="3"/>
      <c r="R149" s="3"/>
      <c r="S149" s="3"/>
      <c r="T149" s="3"/>
      <c r="U149" s="3"/>
      <c r="V149" s="3"/>
      <c r="W149" s="3"/>
    </row>
    <row r="150" ht="14.25" customHeight="1">
      <c r="A150" s="82"/>
      <c r="B150" s="83"/>
      <c r="C150" s="83"/>
      <c r="D150" s="83"/>
      <c r="E150" s="3"/>
      <c r="F150" s="3"/>
      <c r="G150" s="83"/>
      <c r="H150" s="83"/>
      <c r="I150" s="3"/>
      <c r="J150" s="3"/>
      <c r="K150" s="3"/>
      <c r="L150" s="3"/>
      <c r="M150" s="3"/>
      <c r="N150" s="3"/>
      <c r="O150" s="3"/>
      <c r="P150" s="3"/>
      <c r="Q150" s="3"/>
      <c r="R150" s="3"/>
      <c r="S150" s="3"/>
      <c r="T150" s="3"/>
      <c r="U150" s="3"/>
      <c r="V150" s="3"/>
      <c r="W150" s="3"/>
    </row>
    <row r="151" ht="14.25" customHeight="1">
      <c r="A151" s="82"/>
      <c r="B151" s="83"/>
      <c r="C151" s="83"/>
      <c r="D151" s="83"/>
      <c r="E151" s="3"/>
      <c r="F151" s="3"/>
      <c r="G151" s="83"/>
      <c r="H151" s="83"/>
      <c r="I151" s="3"/>
      <c r="J151" s="3"/>
      <c r="K151" s="3"/>
      <c r="L151" s="3"/>
      <c r="M151" s="3"/>
      <c r="N151" s="3"/>
      <c r="O151" s="3"/>
      <c r="P151" s="3"/>
      <c r="Q151" s="3"/>
      <c r="R151" s="3"/>
      <c r="S151" s="3"/>
      <c r="T151" s="3"/>
      <c r="U151" s="3"/>
      <c r="V151" s="3"/>
      <c r="W151" s="3"/>
    </row>
    <row r="152" ht="14.25" customHeight="1">
      <c r="A152" s="82"/>
      <c r="B152" s="83"/>
      <c r="C152" s="83"/>
      <c r="D152" s="83"/>
      <c r="E152" s="3"/>
      <c r="F152" s="3"/>
      <c r="G152" s="83"/>
      <c r="H152" s="83"/>
      <c r="I152" s="3"/>
      <c r="J152" s="3"/>
      <c r="K152" s="3"/>
      <c r="L152" s="3"/>
      <c r="M152" s="3"/>
      <c r="N152" s="3"/>
      <c r="O152" s="3"/>
      <c r="P152" s="3"/>
      <c r="Q152" s="3"/>
      <c r="R152" s="3"/>
      <c r="S152" s="3"/>
      <c r="T152" s="3"/>
      <c r="U152" s="3"/>
      <c r="V152" s="3"/>
      <c r="W152" s="3"/>
    </row>
    <row r="153" ht="14.25" customHeight="1">
      <c r="A153" s="82"/>
      <c r="B153" s="83"/>
      <c r="C153" s="83"/>
      <c r="D153" s="83"/>
      <c r="E153" s="3"/>
      <c r="F153" s="3"/>
      <c r="G153" s="83"/>
      <c r="H153" s="83"/>
      <c r="I153" s="3"/>
      <c r="J153" s="3"/>
      <c r="K153" s="3"/>
      <c r="L153" s="3"/>
      <c r="M153" s="3"/>
      <c r="N153" s="3"/>
      <c r="O153" s="3"/>
      <c r="P153" s="3"/>
      <c r="Q153" s="3"/>
      <c r="R153" s="3"/>
      <c r="S153" s="3"/>
      <c r="T153" s="3"/>
      <c r="U153" s="3"/>
      <c r="V153" s="3"/>
      <c r="W153" s="3"/>
    </row>
    <row r="154" ht="14.25" customHeight="1">
      <c r="A154" s="82"/>
      <c r="B154" s="83"/>
      <c r="C154" s="83"/>
      <c r="D154" s="83"/>
      <c r="E154" s="3"/>
      <c r="F154" s="3"/>
      <c r="G154" s="83"/>
      <c r="H154" s="83"/>
      <c r="I154" s="3"/>
      <c r="J154" s="3"/>
      <c r="K154" s="3"/>
      <c r="L154" s="3"/>
      <c r="M154" s="3"/>
      <c r="N154" s="3"/>
      <c r="O154" s="3"/>
      <c r="P154" s="3"/>
      <c r="Q154" s="3"/>
      <c r="R154" s="3"/>
      <c r="S154" s="3"/>
      <c r="T154" s="3"/>
      <c r="U154" s="3"/>
      <c r="V154" s="3"/>
      <c r="W154" s="3"/>
    </row>
    <row r="155" ht="14.25" customHeight="1">
      <c r="A155" s="82"/>
      <c r="B155" s="83"/>
      <c r="C155" s="83"/>
      <c r="D155" s="83"/>
      <c r="E155" s="3"/>
      <c r="F155" s="3"/>
      <c r="G155" s="83"/>
      <c r="H155" s="83"/>
      <c r="I155" s="3"/>
      <c r="J155" s="3"/>
      <c r="K155" s="3"/>
      <c r="L155" s="3"/>
      <c r="M155" s="3"/>
      <c r="N155" s="3"/>
      <c r="O155" s="3"/>
      <c r="P155" s="3"/>
      <c r="Q155" s="3"/>
      <c r="R155" s="3"/>
      <c r="S155" s="3"/>
      <c r="T155" s="3"/>
      <c r="U155" s="3"/>
      <c r="V155" s="3"/>
      <c r="W155" s="3"/>
    </row>
    <row r="156" ht="14.25" customHeight="1">
      <c r="A156" s="82"/>
      <c r="B156" s="83"/>
      <c r="C156" s="83"/>
      <c r="D156" s="83"/>
      <c r="E156" s="3"/>
      <c r="F156" s="3"/>
      <c r="G156" s="83"/>
      <c r="H156" s="83"/>
      <c r="I156" s="3"/>
      <c r="J156" s="3"/>
      <c r="K156" s="3"/>
      <c r="L156" s="3"/>
      <c r="M156" s="3"/>
      <c r="N156" s="3"/>
      <c r="O156" s="3"/>
      <c r="P156" s="3"/>
      <c r="Q156" s="3"/>
      <c r="R156" s="3"/>
      <c r="S156" s="3"/>
      <c r="T156" s="3"/>
      <c r="U156" s="3"/>
      <c r="V156" s="3"/>
      <c r="W156" s="3"/>
    </row>
    <row r="157" ht="14.25" customHeight="1">
      <c r="A157" s="82"/>
      <c r="B157" s="83"/>
      <c r="C157" s="83"/>
      <c r="D157" s="83"/>
      <c r="E157" s="3"/>
      <c r="F157" s="3"/>
      <c r="G157" s="83"/>
      <c r="H157" s="83"/>
      <c r="I157" s="3"/>
      <c r="J157" s="3"/>
      <c r="K157" s="3"/>
      <c r="L157" s="3"/>
      <c r="M157" s="3"/>
      <c r="N157" s="3"/>
      <c r="O157" s="3"/>
      <c r="P157" s="3"/>
      <c r="Q157" s="3"/>
      <c r="R157" s="3"/>
      <c r="S157" s="3"/>
      <c r="T157" s="3"/>
      <c r="U157" s="3"/>
      <c r="V157" s="3"/>
      <c r="W157" s="3"/>
    </row>
    <row r="158" ht="14.25" customHeight="1">
      <c r="A158" s="82"/>
      <c r="B158" s="83"/>
      <c r="C158" s="83"/>
      <c r="D158" s="83"/>
      <c r="E158" s="3"/>
      <c r="F158" s="3"/>
      <c r="G158" s="83"/>
      <c r="H158" s="83"/>
      <c r="I158" s="3"/>
      <c r="J158" s="3"/>
      <c r="K158" s="3"/>
      <c r="L158" s="3"/>
      <c r="M158" s="3"/>
      <c r="N158" s="3"/>
      <c r="O158" s="3"/>
      <c r="P158" s="3"/>
      <c r="Q158" s="3"/>
      <c r="R158" s="3"/>
      <c r="S158" s="3"/>
      <c r="T158" s="3"/>
      <c r="U158" s="3"/>
      <c r="V158" s="3"/>
      <c r="W158" s="3"/>
    </row>
    <row r="159" ht="14.25" customHeight="1">
      <c r="A159" s="82"/>
      <c r="B159" s="83"/>
      <c r="C159" s="83"/>
      <c r="D159" s="83"/>
      <c r="E159" s="3"/>
      <c r="F159" s="3"/>
      <c r="G159" s="83"/>
      <c r="H159" s="83"/>
      <c r="I159" s="3"/>
      <c r="J159" s="3"/>
      <c r="K159" s="3"/>
      <c r="L159" s="3"/>
      <c r="M159" s="3"/>
      <c r="N159" s="3"/>
      <c r="O159" s="3"/>
      <c r="P159" s="3"/>
      <c r="Q159" s="3"/>
      <c r="R159" s="3"/>
      <c r="S159" s="3"/>
      <c r="T159" s="3"/>
      <c r="U159" s="3"/>
      <c r="V159" s="3"/>
      <c r="W159" s="3"/>
    </row>
    <row r="160" ht="14.25" customHeight="1">
      <c r="A160" s="82"/>
      <c r="B160" s="83"/>
      <c r="C160" s="83"/>
      <c r="D160" s="83"/>
      <c r="E160" s="3"/>
      <c r="F160" s="3"/>
      <c r="G160" s="83"/>
      <c r="H160" s="83"/>
      <c r="I160" s="3"/>
      <c r="J160" s="3"/>
      <c r="K160" s="3"/>
      <c r="L160" s="3"/>
      <c r="M160" s="3"/>
      <c r="N160" s="3"/>
      <c r="O160" s="3"/>
      <c r="P160" s="3"/>
      <c r="Q160" s="3"/>
      <c r="R160" s="3"/>
      <c r="S160" s="3"/>
      <c r="T160" s="3"/>
      <c r="U160" s="3"/>
      <c r="V160" s="3"/>
      <c r="W160" s="3"/>
    </row>
    <row r="161" ht="14.25" customHeight="1">
      <c r="A161" s="82"/>
      <c r="B161" s="83"/>
      <c r="C161" s="83"/>
      <c r="D161" s="83"/>
      <c r="E161" s="3"/>
      <c r="F161" s="3"/>
      <c r="G161" s="83"/>
      <c r="H161" s="83"/>
      <c r="I161" s="3"/>
      <c r="J161" s="3"/>
      <c r="K161" s="3"/>
      <c r="L161" s="3"/>
      <c r="M161" s="3"/>
      <c r="N161" s="3"/>
      <c r="O161" s="3"/>
      <c r="P161" s="3"/>
      <c r="Q161" s="3"/>
      <c r="R161" s="3"/>
      <c r="S161" s="3"/>
      <c r="T161" s="3"/>
      <c r="U161" s="3"/>
      <c r="V161" s="3"/>
      <c r="W161" s="3"/>
    </row>
    <row r="162" ht="14.25" customHeight="1">
      <c r="A162" s="82"/>
      <c r="B162" s="83"/>
      <c r="C162" s="83"/>
      <c r="D162" s="83"/>
      <c r="E162" s="3"/>
      <c r="F162" s="3"/>
      <c r="G162" s="83"/>
      <c r="H162" s="83"/>
      <c r="I162" s="3"/>
      <c r="J162" s="3"/>
      <c r="K162" s="3"/>
      <c r="L162" s="3"/>
      <c r="M162" s="3"/>
      <c r="N162" s="3"/>
      <c r="O162" s="3"/>
      <c r="P162" s="3"/>
      <c r="Q162" s="3"/>
      <c r="R162" s="3"/>
      <c r="S162" s="3"/>
      <c r="T162" s="3"/>
      <c r="U162" s="3"/>
      <c r="V162" s="3"/>
      <c r="W162" s="3"/>
    </row>
    <row r="163" ht="14.25" customHeight="1">
      <c r="A163" s="82"/>
      <c r="B163" s="83"/>
      <c r="C163" s="83"/>
      <c r="D163" s="83"/>
      <c r="E163" s="3"/>
      <c r="F163" s="3"/>
      <c r="G163" s="83"/>
      <c r="H163" s="83"/>
      <c r="I163" s="3"/>
      <c r="J163" s="3"/>
      <c r="K163" s="3"/>
      <c r="L163" s="3"/>
      <c r="M163" s="3"/>
      <c r="N163" s="3"/>
      <c r="O163" s="3"/>
      <c r="P163" s="3"/>
      <c r="Q163" s="3"/>
      <c r="R163" s="3"/>
      <c r="S163" s="3"/>
      <c r="T163" s="3"/>
      <c r="U163" s="3"/>
      <c r="V163" s="3"/>
      <c r="W163" s="3"/>
    </row>
    <row r="164" ht="14.25" customHeight="1">
      <c r="A164" s="82"/>
      <c r="B164" s="83"/>
      <c r="C164" s="83"/>
      <c r="D164" s="83"/>
      <c r="E164" s="3"/>
      <c r="F164" s="3"/>
      <c r="G164" s="83"/>
      <c r="H164" s="83"/>
      <c r="I164" s="3"/>
      <c r="J164" s="3"/>
      <c r="K164" s="3"/>
      <c r="L164" s="3"/>
      <c r="M164" s="3"/>
      <c r="N164" s="3"/>
      <c r="O164" s="3"/>
      <c r="P164" s="3"/>
      <c r="Q164" s="3"/>
      <c r="R164" s="3"/>
      <c r="S164" s="3"/>
      <c r="T164" s="3"/>
      <c r="U164" s="3"/>
      <c r="V164" s="3"/>
      <c r="W164" s="3"/>
    </row>
    <row r="165" ht="14.25" customHeight="1">
      <c r="A165" s="82"/>
      <c r="B165" s="83"/>
      <c r="C165" s="83"/>
      <c r="D165" s="83"/>
      <c r="E165" s="3"/>
      <c r="F165" s="3"/>
      <c r="G165" s="83"/>
      <c r="H165" s="83"/>
      <c r="I165" s="3"/>
      <c r="J165" s="3"/>
      <c r="K165" s="3"/>
      <c r="L165" s="3"/>
      <c r="M165" s="3"/>
      <c r="N165" s="3"/>
      <c r="O165" s="3"/>
      <c r="P165" s="3"/>
      <c r="Q165" s="3"/>
      <c r="R165" s="3"/>
      <c r="S165" s="3"/>
      <c r="T165" s="3"/>
      <c r="U165" s="3"/>
      <c r="V165" s="3"/>
      <c r="W165" s="3"/>
    </row>
    <row r="166" ht="14.25" customHeight="1">
      <c r="A166" s="82"/>
      <c r="B166" s="83"/>
      <c r="C166" s="83"/>
      <c r="D166" s="83"/>
      <c r="E166" s="3"/>
      <c r="F166" s="3"/>
      <c r="G166" s="83"/>
      <c r="H166" s="83"/>
      <c r="I166" s="3"/>
      <c r="J166" s="3"/>
      <c r="K166" s="3"/>
      <c r="L166" s="3"/>
      <c r="M166" s="3"/>
      <c r="N166" s="3"/>
      <c r="O166" s="3"/>
      <c r="P166" s="3"/>
      <c r="Q166" s="3"/>
      <c r="R166" s="3"/>
      <c r="S166" s="3"/>
      <c r="T166" s="3"/>
      <c r="U166" s="3"/>
      <c r="V166" s="3"/>
      <c r="W166" s="3"/>
    </row>
    <row r="167" ht="14.25" customHeight="1">
      <c r="A167" s="82"/>
      <c r="B167" s="83"/>
      <c r="C167" s="83"/>
      <c r="D167" s="83"/>
      <c r="E167" s="3"/>
      <c r="F167" s="3"/>
      <c r="G167" s="83"/>
      <c r="H167" s="83"/>
      <c r="I167" s="3"/>
      <c r="J167" s="3"/>
      <c r="K167" s="3"/>
      <c r="L167" s="3"/>
      <c r="M167" s="3"/>
      <c r="N167" s="3"/>
      <c r="O167" s="3"/>
      <c r="P167" s="3"/>
      <c r="Q167" s="3"/>
      <c r="R167" s="3"/>
      <c r="S167" s="3"/>
      <c r="T167" s="3"/>
      <c r="U167" s="3"/>
      <c r="V167" s="3"/>
      <c r="W167" s="3"/>
    </row>
    <row r="168" ht="14.25" customHeight="1">
      <c r="A168" s="82"/>
      <c r="B168" s="83"/>
      <c r="C168" s="83"/>
      <c r="D168" s="83"/>
      <c r="E168" s="3"/>
      <c r="F168" s="3"/>
      <c r="G168" s="83"/>
      <c r="H168" s="83"/>
      <c r="I168" s="3"/>
      <c r="J168" s="3"/>
      <c r="K168" s="3"/>
      <c r="L168" s="3"/>
      <c r="M168" s="3"/>
      <c r="N168" s="3"/>
      <c r="O168" s="3"/>
      <c r="P168" s="3"/>
      <c r="Q168" s="3"/>
      <c r="R168" s="3"/>
      <c r="S168" s="3"/>
      <c r="T168" s="3"/>
      <c r="U168" s="3"/>
      <c r="V168" s="3"/>
      <c r="W168" s="3"/>
    </row>
    <row r="169" ht="14.25" customHeight="1">
      <c r="A169" s="82"/>
      <c r="B169" s="83"/>
      <c r="C169" s="83"/>
      <c r="D169" s="83"/>
      <c r="E169" s="3"/>
      <c r="F169" s="3"/>
      <c r="G169" s="83"/>
      <c r="H169" s="83"/>
      <c r="I169" s="3"/>
      <c r="J169" s="3"/>
      <c r="K169" s="3"/>
      <c r="L169" s="3"/>
      <c r="M169" s="3"/>
      <c r="N169" s="3"/>
      <c r="O169" s="3"/>
      <c r="P169" s="3"/>
      <c r="Q169" s="3"/>
      <c r="R169" s="3"/>
      <c r="S169" s="3"/>
      <c r="T169" s="3"/>
      <c r="U169" s="3"/>
      <c r="V169" s="3"/>
      <c r="W169" s="3"/>
    </row>
    <row r="170" ht="14.25" customHeight="1">
      <c r="A170" s="82"/>
      <c r="B170" s="83"/>
      <c r="C170" s="83"/>
      <c r="D170" s="83"/>
      <c r="E170" s="3"/>
      <c r="F170" s="3"/>
      <c r="G170" s="83"/>
      <c r="H170" s="83"/>
      <c r="I170" s="3"/>
      <c r="J170" s="3"/>
      <c r="K170" s="3"/>
      <c r="L170" s="3"/>
      <c r="M170" s="3"/>
      <c r="N170" s="3"/>
      <c r="O170" s="3"/>
      <c r="P170" s="3"/>
      <c r="Q170" s="3"/>
      <c r="R170" s="3"/>
      <c r="S170" s="3"/>
      <c r="T170" s="3"/>
      <c r="U170" s="3"/>
      <c r="V170" s="3"/>
      <c r="W170" s="3"/>
    </row>
    <row r="171" ht="14.25" customHeight="1">
      <c r="A171" s="82"/>
      <c r="B171" s="83"/>
      <c r="C171" s="83"/>
      <c r="D171" s="83"/>
      <c r="E171" s="3"/>
      <c r="F171" s="3"/>
      <c r="G171" s="83"/>
      <c r="H171" s="83"/>
      <c r="I171" s="3"/>
      <c r="J171" s="3"/>
      <c r="K171" s="3"/>
      <c r="L171" s="3"/>
      <c r="M171" s="3"/>
      <c r="N171" s="3"/>
      <c r="O171" s="3"/>
      <c r="P171" s="3"/>
      <c r="Q171" s="3"/>
      <c r="R171" s="3"/>
      <c r="S171" s="3"/>
      <c r="T171" s="3"/>
      <c r="U171" s="3"/>
      <c r="V171" s="3"/>
      <c r="W171" s="3"/>
    </row>
    <row r="172" ht="14.25" customHeight="1">
      <c r="A172" s="82"/>
      <c r="B172" s="83"/>
      <c r="C172" s="83"/>
      <c r="D172" s="83"/>
      <c r="E172" s="3"/>
      <c r="F172" s="3"/>
      <c r="G172" s="83"/>
      <c r="H172" s="83"/>
      <c r="I172" s="3"/>
      <c r="J172" s="3"/>
      <c r="K172" s="3"/>
      <c r="L172" s="3"/>
      <c r="M172" s="3"/>
      <c r="N172" s="3"/>
      <c r="O172" s="3"/>
      <c r="P172" s="3"/>
      <c r="Q172" s="3"/>
      <c r="R172" s="3"/>
      <c r="S172" s="3"/>
      <c r="T172" s="3"/>
      <c r="U172" s="3"/>
      <c r="V172" s="3"/>
      <c r="W172" s="3"/>
    </row>
    <row r="173" ht="14.25" customHeight="1">
      <c r="A173" s="82"/>
      <c r="B173" s="83"/>
      <c r="C173" s="83"/>
      <c r="D173" s="83"/>
      <c r="E173" s="3"/>
      <c r="F173" s="3"/>
      <c r="G173" s="83"/>
      <c r="H173" s="83"/>
      <c r="I173" s="3"/>
      <c r="J173" s="3"/>
      <c r="K173" s="3"/>
      <c r="L173" s="3"/>
      <c r="M173" s="3"/>
      <c r="N173" s="3"/>
      <c r="O173" s="3"/>
      <c r="P173" s="3"/>
      <c r="Q173" s="3"/>
      <c r="R173" s="3"/>
      <c r="S173" s="3"/>
      <c r="T173" s="3"/>
      <c r="U173" s="3"/>
      <c r="V173" s="3"/>
      <c r="W173" s="3"/>
    </row>
    <row r="174" ht="14.25" customHeight="1">
      <c r="A174" s="82"/>
      <c r="B174" s="83"/>
      <c r="C174" s="83"/>
      <c r="D174" s="83"/>
      <c r="E174" s="3"/>
      <c r="F174" s="3"/>
      <c r="G174" s="83"/>
      <c r="H174" s="83"/>
      <c r="I174" s="3"/>
      <c r="J174" s="3"/>
      <c r="K174" s="3"/>
      <c r="L174" s="3"/>
      <c r="M174" s="3"/>
      <c r="N174" s="3"/>
      <c r="O174" s="3"/>
      <c r="P174" s="3"/>
      <c r="Q174" s="3"/>
      <c r="R174" s="3"/>
      <c r="S174" s="3"/>
      <c r="T174" s="3"/>
      <c r="U174" s="3"/>
      <c r="V174" s="3"/>
      <c r="W174" s="3"/>
    </row>
    <row r="175" ht="14.25" customHeight="1">
      <c r="A175" s="82"/>
      <c r="B175" s="83"/>
      <c r="C175" s="83"/>
      <c r="D175" s="83"/>
      <c r="E175" s="3"/>
      <c r="F175" s="3"/>
      <c r="G175" s="83"/>
      <c r="H175" s="83"/>
      <c r="I175" s="3"/>
      <c r="J175" s="3"/>
      <c r="K175" s="3"/>
      <c r="L175" s="3"/>
      <c r="M175" s="3"/>
      <c r="N175" s="3"/>
      <c r="O175" s="3"/>
      <c r="P175" s="3"/>
      <c r="Q175" s="3"/>
      <c r="R175" s="3"/>
      <c r="S175" s="3"/>
      <c r="T175" s="3"/>
      <c r="U175" s="3"/>
      <c r="V175" s="3"/>
      <c r="W175" s="3"/>
    </row>
    <row r="176" ht="14.25" customHeight="1">
      <c r="A176" s="82"/>
      <c r="B176" s="83"/>
      <c r="C176" s="83"/>
      <c r="D176" s="83"/>
      <c r="E176" s="3"/>
      <c r="F176" s="3"/>
      <c r="G176" s="83"/>
      <c r="H176" s="83"/>
      <c r="I176" s="3"/>
      <c r="J176" s="3"/>
      <c r="K176" s="3"/>
      <c r="L176" s="3"/>
      <c r="M176" s="3"/>
      <c r="N176" s="3"/>
      <c r="O176" s="3"/>
      <c r="P176" s="3"/>
      <c r="Q176" s="3"/>
      <c r="R176" s="3"/>
      <c r="S176" s="3"/>
      <c r="T176" s="3"/>
      <c r="U176" s="3"/>
      <c r="V176" s="3"/>
      <c r="W176" s="3"/>
    </row>
    <row r="177" ht="14.25" customHeight="1">
      <c r="A177" s="82"/>
      <c r="B177" s="83"/>
      <c r="C177" s="83"/>
      <c r="D177" s="83"/>
      <c r="E177" s="3"/>
      <c r="F177" s="3"/>
      <c r="G177" s="83"/>
      <c r="H177" s="83"/>
      <c r="I177" s="3"/>
      <c r="J177" s="3"/>
      <c r="K177" s="3"/>
      <c r="L177" s="3"/>
      <c r="M177" s="3"/>
      <c r="N177" s="3"/>
      <c r="O177" s="3"/>
      <c r="P177" s="3"/>
      <c r="Q177" s="3"/>
      <c r="R177" s="3"/>
      <c r="S177" s="3"/>
      <c r="T177" s="3"/>
      <c r="U177" s="3"/>
      <c r="V177" s="3"/>
      <c r="W177" s="3"/>
    </row>
    <row r="178" ht="14.25" customHeight="1">
      <c r="A178" s="82"/>
      <c r="B178" s="83"/>
      <c r="C178" s="83"/>
      <c r="D178" s="83"/>
      <c r="E178" s="3"/>
      <c r="F178" s="3"/>
      <c r="G178" s="83"/>
      <c r="H178" s="83"/>
      <c r="I178" s="3"/>
      <c r="J178" s="3"/>
      <c r="K178" s="3"/>
      <c r="L178" s="3"/>
      <c r="M178" s="3"/>
      <c r="N178" s="3"/>
      <c r="O178" s="3"/>
      <c r="P178" s="3"/>
      <c r="Q178" s="3"/>
      <c r="R178" s="3"/>
      <c r="S178" s="3"/>
      <c r="T178" s="3"/>
      <c r="U178" s="3"/>
      <c r="V178" s="3"/>
      <c r="W178" s="3"/>
    </row>
    <row r="179" ht="14.25" customHeight="1">
      <c r="A179" s="82"/>
      <c r="B179" s="83"/>
      <c r="C179" s="83"/>
      <c r="D179" s="83"/>
      <c r="E179" s="3"/>
      <c r="F179" s="3"/>
      <c r="G179" s="83"/>
      <c r="H179" s="83"/>
      <c r="I179" s="3"/>
      <c r="J179" s="3"/>
      <c r="K179" s="3"/>
      <c r="L179" s="3"/>
      <c r="M179" s="3"/>
      <c r="N179" s="3"/>
      <c r="O179" s="3"/>
      <c r="P179" s="3"/>
      <c r="Q179" s="3"/>
      <c r="R179" s="3"/>
      <c r="S179" s="3"/>
      <c r="T179" s="3"/>
      <c r="U179" s="3"/>
      <c r="V179" s="3"/>
      <c r="W179" s="3"/>
    </row>
    <row r="180" ht="14.25" customHeight="1">
      <c r="A180" s="82"/>
      <c r="B180" s="83"/>
      <c r="C180" s="83"/>
      <c r="D180" s="83"/>
      <c r="E180" s="3"/>
      <c r="F180" s="3"/>
      <c r="G180" s="83"/>
      <c r="H180" s="83"/>
      <c r="I180" s="3"/>
      <c r="J180" s="3"/>
      <c r="K180" s="3"/>
      <c r="L180" s="3"/>
      <c r="M180" s="3"/>
      <c r="N180" s="3"/>
      <c r="O180" s="3"/>
      <c r="P180" s="3"/>
      <c r="Q180" s="3"/>
      <c r="R180" s="3"/>
      <c r="S180" s="3"/>
      <c r="T180" s="3"/>
      <c r="U180" s="3"/>
      <c r="V180" s="3"/>
      <c r="W180" s="3"/>
    </row>
    <row r="181" ht="14.25" customHeight="1">
      <c r="A181" s="82"/>
      <c r="B181" s="83"/>
      <c r="C181" s="83"/>
      <c r="D181" s="83"/>
      <c r="E181" s="3"/>
      <c r="F181" s="3"/>
      <c r="G181" s="83"/>
      <c r="H181" s="83"/>
      <c r="I181" s="3"/>
      <c r="J181" s="3"/>
      <c r="K181" s="3"/>
      <c r="L181" s="3"/>
      <c r="M181" s="3"/>
      <c r="N181" s="3"/>
      <c r="O181" s="3"/>
      <c r="P181" s="3"/>
      <c r="Q181" s="3"/>
      <c r="R181" s="3"/>
      <c r="S181" s="3"/>
      <c r="T181" s="3"/>
      <c r="U181" s="3"/>
      <c r="V181" s="3"/>
      <c r="W181" s="3"/>
    </row>
    <row r="182" ht="14.25" customHeight="1">
      <c r="A182" s="82"/>
      <c r="B182" s="83"/>
      <c r="C182" s="83"/>
      <c r="D182" s="83"/>
      <c r="E182" s="3"/>
      <c r="F182" s="3"/>
      <c r="G182" s="83"/>
      <c r="H182" s="83"/>
      <c r="I182" s="3"/>
      <c r="J182" s="3"/>
      <c r="K182" s="3"/>
      <c r="L182" s="3"/>
      <c r="M182" s="3"/>
      <c r="N182" s="3"/>
      <c r="O182" s="3"/>
      <c r="P182" s="3"/>
      <c r="Q182" s="3"/>
      <c r="R182" s="3"/>
      <c r="S182" s="3"/>
      <c r="T182" s="3"/>
      <c r="U182" s="3"/>
      <c r="V182" s="3"/>
      <c r="W182" s="3"/>
    </row>
    <row r="183" ht="14.25" customHeight="1">
      <c r="A183" s="82"/>
      <c r="B183" s="83"/>
      <c r="C183" s="83"/>
      <c r="D183" s="83"/>
      <c r="E183" s="3"/>
      <c r="F183" s="3"/>
      <c r="G183" s="83"/>
      <c r="H183" s="83"/>
      <c r="I183" s="3"/>
      <c r="J183" s="3"/>
      <c r="K183" s="3"/>
      <c r="L183" s="3"/>
      <c r="M183" s="3"/>
      <c r="N183" s="3"/>
      <c r="O183" s="3"/>
      <c r="P183" s="3"/>
      <c r="Q183" s="3"/>
      <c r="R183" s="3"/>
      <c r="S183" s="3"/>
      <c r="T183" s="3"/>
      <c r="U183" s="3"/>
      <c r="V183" s="3"/>
      <c r="W183" s="3"/>
    </row>
    <row r="184" ht="14.25" customHeight="1">
      <c r="A184" s="82"/>
      <c r="B184" s="83"/>
      <c r="C184" s="83"/>
      <c r="D184" s="83"/>
      <c r="E184" s="3"/>
      <c r="F184" s="3"/>
      <c r="G184" s="83"/>
      <c r="H184" s="83"/>
      <c r="I184" s="3"/>
      <c r="J184" s="3"/>
      <c r="K184" s="3"/>
      <c r="L184" s="3"/>
      <c r="M184" s="3"/>
      <c r="N184" s="3"/>
      <c r="O184" s="3"/>
      <c r="P184" s="3"/>
      <c r="Q184" s="3"/>
      <c r="R184" s="3"/>
      <c r="S184" s="3"/>
      <c r="T184" s="3"/>
      <c r="U184" s="3"/>
      <c r="V184" s="3"/>
      <c r="W184" s="3"/>
    </row>
    <row r="185" ht="14.25" customHeight="1">
      <c r="A185" s="82"/>
      <c r="B185" s="83"/>
      <c r="C185" s="83"/>
      <c r="D185" s="83"/>
      <c r="E185" s="3"/>
      <c r="F185" s="3"/>
      <c r="G185" s="83"/>
      <c r="H185" s="83"/>
      <c r="I185" s="3"/>
      <c r="J185" s="3"/>
      <c r="K185" s="3"/>
      <c r="L185" s="3"/>
      <c r="M185" s="3"/>
      <c r="N185" s="3"/>
      <c r="O185" s="3"/>
      <c r="P185" s="3"/>
      <c r="Q185" s="3"/>
      <c r="R185" s="3"/>
      <c r="S185" s="3"/>
      <c r="T185" s="3"/>
      <c r="U185" s="3"/>
      <c r="V185" s="3"/>
      <c r="W185" s="3"/>
    </row>
    <row r="186" ht="14.25" customHeight="1">
      <c r="A186" s="82"/>
      <c r="B186" s="83"/>
      <c r="C186" s="83"/>
      <c r="D186" s="83"/>
      <c r="E186" s="3"/>
      <c r="F186" s="3"/>
      <c r="G186" s="83"/>
      <c r="H186" s="83"/>
      <c r="I186" s="3"/>
      <c r="J186" s="3"/>
      <c r="K186" s="3"/>
      <c r="L186" s="3"/>
      <c r="M186" s="3"/>
      <c r="N186" s="3"/>
      <c r="O186" s="3"/>
      <c r="P186" s="3"/>
      <c r="Q186" s="3"/>
      <c r="R186" s="3"/>
      <c r="S186" s="3"/>
      <c r="T186" s="3"/>
      <c r="U186" s="3"/>
      <c r="V186" s="3"/>
      <c r="W186" s="3"/>
    </row>
    <row r="187" ht="14.25" customHeight="1">
      <c r="A187" s="82"/>
      <c r="B187" s="83"/>
      <c r="C187" s="83"/>
      <c r="D187" s="83"/>
      <c r="E187" s="3"/>
      <c r="F187" s="3"/>
      <c r="G187" s="83"/>
      <c r="H187" s="83"/>
      <c r="I187" s="3"/>
      <c r="J187" s="3"/>
      <c r="K187" s="3"/>
      <c r="L187" s="3"/>
      <c r="M187" s="3"/>
      <c r="N187" s="3"/>
      <c r="O187" s="3"/>
      <c r="P187" s="3"/>
      <c r="Q187" s="3"/>
      <c r="R187" s="3"/>
      <c r="S187" s="3"/>
      <c r="T187" s="3"/>
      <c r="U187" s="3"/>
      <c r="V187" s="3"/>
      <c r="W187" s="3"/>
    </row>
    <row r="188" ht="14.25" customHeight="1">
      <c r="A188" s="82"/>
      <c r="B188" s="83"/>
      <c r="C188" s="83"/>
      <c r="D188" s="83"/>
      <c r="E188" s="3"/>
      <c r="F188" s="3"/>
      <c r="G188" s="83"/>
      <c r="H188" s="83"/>
      <c r="I188" s="3"/>
      <c r="J188" s="3"/>
      <c r="K188" s="3"/>
      <c r="L188" s="3"/>
      <c r="M188" s="3"/>
      <c r="N188" s="3"/>
      <c r="O188" s="3"/>
      <c r="P188" s="3"/>
      <c r="Q188" s="3"/>
      <c r="R188" s="3"/>
      <c r="S188" s="3"/>
      <c r="T188" s="3"/>
      <c r="U188" s="3"/>
      <c r="V188" s="3"/>
      <c r="W188" s="3"/>
    </row>
    <row r="189" ht="14.25" customHeight="1">
      <c r="A189" s="82"/>
      <c r="B189" s="83"/>
      <c r="C189" s="83"/>
      <c r="D189" s="83"/>
      <c r="E189" s="3"/>
      <c r="F189" s="3"/>
      <c r="G189" s="83"/>
      <c r="H189" s="83"/>
      <c r="I189" s="3"/>
      <c r="J189" s="3"/>
      <c r="K189" s="3"/>
      <c r="L189" s="3"/>
      <c r="M189" s="3"/>
      <c r="N189" s="3"/>
      <c r="O189" s="3"/>
      <c r="P189" s="3"/>
      <c r="Q189" s="3"/>
      <c r="R189" s="3"/>
      <c r="S189" s="3"/>
      <c r="T189" s="3"/>
      <c r="U189" s="3"/>
      <c r="V189" s="3"/>
      <c r="W189" s="3"/>
    </row>
    <row r="190" ht="14.25" customHeight="1">
      <c r="A190" s="82"/>
      <c r="B190" s="83"/>
      <c r="C190" s="83"/>
      <c r="D190" s="83"/>
      <c r="E190" s="3"/>
      <c r="F190" s="3"/>
      <c r="G190" s="83"/>
      <c r="H190" s="83"/>
      <c r="I190" s="3"/>
      <c r="J190" s="3"/>
      <c r="K190" s="3"/>
      <c r="L190" s="3"/>
      <c r="M190" s="3"/>
      <c r="N190" s="3"/>
      <c r="O190" s="3"/>
      <c r="P190" s="3"/>
      <c r="Q190" s="3"/>
      <c r="R190" s="3"/>
      <c r="S190" s="3"/>
      <c r="T190" s="3"/>
      <c r="U190" s="3"/>
      <c r="V190" s="3"/>
      <c r="W190" s="3"/>
    </row>
    <row r="191" ht="14.25" customHeight="1">
      <c r="A191" s="82"/>
      <c r="B191" s="83"/>
      <c r="C191" s="83"/>
      <c r="D191" s="83"/>
      <c r="E191" s="3"/>
      <c r="F191" s="3"/>
      <c r="G191" s="83"/>
      <c r="H191" s="83"/>
      <c r="I191" s="3"/>
      <c r="J191" s="3"/>
      <c r="K191" s="3"/>
      <c r="L191" s="3"/>
      <c r="M191" s="3"/>
      <c r="N191" s="3"/>
      <c r="O191" s="3"/>
      <c r="P191" s="3"/>
      <c r="Q191" s="3"/>
      <c r="R191" s="3"/>
      <c r="S191" s="3"/>
      <c r="T191" s="3"/>
      <c r="U191" s="3"/>
      <c r="V191" s="3"/>
      <c r="W191" s="3"/>
    </row>
    <row r="192" ht="14.25" customHeight="1">
      <c r="A192" s="82"/>
      <c r="B192" s="83"/>
      <c r="C192" s="83"/>
      <c r="D192" s="83"/>
      <c r="E192" s="3"/>
      <c r="F192" s="3"/>
      <c r="G192" s="83"/>
      <c r="H192" s="83"/>
      <c r="I192" s="3"/>
      <c r="J192" s="3"/>
      <c r="K192" s="3"/>
      <c r="L192" s="3"/>
      <c r="M192" s="3"/>
      <c r="N192" s="3"/>
      <c r="O192" s="3"/>
      <c r="P192" s="3"/>
      <c r="Q192" s="3"/>
      <c r="R192" s="3"/>
      <c r="S192" s="3"/>
      <c r="T192" s="3"/>
      <c r="U192" s="3"/>
      <c r="V192" s="3"/>
      <c r="W192" s="3"/>
    </row>
    <row r="193" ht="14.25" customHeight="1">
      <c r="A193" s="82"/>
      <c r="B193" s="83"/>
      <c r="C193" s="83"/>
      <c r="D193" s="83"/>
      <c r="E193" s="3"/>
      <c r="F193" s="3"/>
      <c r="G193" s="83"/>
      <c r="H193" s="83"/>
      <c r="I193" s="3"/>
      <c r="J193" s="3"/>
      <c r="K193" s="3"/>
      <c r="L193" s="3"/>
      <c r="M193" s="3"/>
      <c r="N193" s="3"/>
      <c r="O193" s="3"/>
      <c r="P193" s="3"/>
      <c r="Q193" s="3"/>
      <c r="R193" s="3"/>
      <c r="S193" s="3"/>
      <c r="T193" s="3"/>
      <c r="U193" s="3"/>
      <c r="V193" s="3"/>
      <c r="W193" s="3"/>
    </row>
    <row r="194" ht="14.25" customHeight="1">
      <c r="A194" s="82"/>
      <c r="B194" s="83"/>
      <c r="C194" s="83"/>
      <c r="D194" s="83"/>
      <c r="E194" s="3"/>
      <c r="F194" s="3"/>
      <c r="G194" s="83"/>
      <c r="H194" s="83"/>
      <c r="I194" s="3"/>
      <c r="J194" s="3"/>
      <c r="K194" s="3"/>
      <c r="L194" s="3"/>
      <c r="M194" s="3"/>
      <c r="N194" s="3"/>
      <c r="O194" s="3"/>
      <c r="P194" s="3"/>
      <c r="Q194" s="3"/>
      <c r="R194" s="3"/>
      <c r="S194" s="3"/>
      <c r="T194" s="3"/>
      <c r="U194" s="3"/>
      <c r="V194" s="3"/>
      <c r="W194" s="3"/>
    </row>
    <row r="195" ht="14.25" customHeight="1">
      <c r="A195" s="82"/>
      <c r="B195" s="83"/>
      <c r="C195" s="83"/>
      <c r="D195" s="83"/>
      <c r="E195" s="3"/>
      <c r="F195" s="3"/>
      <c r="G195" s="83"/>
      <c r="H195" s="83"/>
      <c r="I195" s="3"/>
      <c r="J195" s="3"/>
      <c r="K195" s="3"/>
      <c r="L195" s="3"/>
      <c r="M195" s="3"/>
      <c r="N195" s="3"/>
      <c r="O195" s="3"/>
      <c r="P195" s="3"/>
      <c r="Q195" s="3"/>
      <c r="R195" s="3"/>
      <c r="S195" s="3"/>
      <c r="T195" s="3"/>
      <c r="U195" s="3"/>
      <c r="V195" s="3"/>
      <c r="W195" s="3"/>
    </row>
    <row r="196" ht="14.25" customHeight="1">
      <c r="A196" s="82"/>
      <c r="B196" s="83"/>
      <c r="C196" s="83"/>
      <c r="D196" s="83"/>
      <c r="E196" s="3"/>
      <c r="F196" s="3"/>
      <c r="G196" s="83"/>
      <c r="H196" s="83"/>
      <c r="I196" s="3"/>
      <c r="J196" s="3"/>
      <c r="K196" s="3"/>
      <c r="L196" s="3"/>
      <c r="M196" s="3"/>
      <c r="N196" s="3"/>
      <c r="O196" s="3"/>
      <c r="P196" s="3"/>
      <c r="Q196" s="3"/>
      <c r="R196" s="3"/>
      <c r="S196" s="3"/>
      <c r="T196" s="3"/>
      <c r="U196" s="3"/>
      <c r="V196" s="3"/>
      <c r="W196" s="3"/>
    </row>
    <row r="197" ht="14.25" customHeight="1">
      <c r="A197" s="82"/>
      <c r="B197" s="83"/>
      <c r="C197" s="83"/>
      <c r="D197" s="83"/>
      <c r="E197" s="3"/>
      <c r="F197" s="3"/>
      <c r="G197" s="83"/>
      <c r="H197" s="83"/>
      <c r="I197" s="3"/>
      <c r="J197" s="3"/>
      <c r="K197" s="3"/>
      <c r="L197" s="3"/>
      <c r="M197" s="3"/>
      <c r="N197" s="3"/>
      <c r="O197" s="3"/>
      <c r="P197" s="3"/>
      <c r="Q197" s="3"/>
      <c r="R197" s="3"/>
      <c r="S197" s="3"/>
      <c r="T197" s="3"/>
      <c r="U197" s="3"/>
      <c r="V197" s="3"/>
      <c r="W197" s="3"/>
    </row>
    <row r="198" ht="14.25" customHeight="1">
      <c r="A198" s="82"/>
      <c r="B198" s="83"/>
      <c r="C198" s="83"/>
      <c r="D198" s="83"/>
      <c r="E198" s="3"/>
      <c r="F198" s="3"/>
      <c r="G198" s="83"/>
      <c r="H198" s="83"/>
      <c r="I198" s="3"/>
      <c r="J198" s="3"/>
      <c r="K198" s="3"/>
      <c r="L198" s="3"/>
      <c r="M198" s="3"/>
      <c r="N198" s="3"/>
      <c r="O198" s="3"/>
      <c r="P198" s="3"/>
      <c r="Q198" s="3"/>
      <c r="R198" s="3"/>
      <c r="S198" s="3"/>
      <c r="T198" s="3"/>
      <c r="U198" s="3"/>
      <c r="V198" s="3"/>
      <c r="W198" s="3"/>
    </row>
    <row r="199" ht="14.25" customHeight="1">
      <c r="A199" s="82"/>
      <c r="B199" s="83"/>
      <c r="C199" s="83"/>
      <c r="D199" s="83"/>
      <c r="E199" s="3"/>
      <c r="F199" s="3"/>
      <c r="G199" s="83"/>
      <c r="H199" s="83"/>
      <c r="I199" s="3"/>
      <c r="J199" s="3"/>
      <c r="K199" s="3"/>
      <c r="L199" s="3"/>
      <c r="M199" s="3"/>
      <c r="N199" s="3"/>
      <c r="O199" s="3"/>
      <c r="P199" s="3"/>
      <c r="Q199" s="3"/>
      <c r="R199" s="3"/>
      <c r="S199" s="3"/>
      <c r="T199" s="3"/>
      <c r="U199" s="3"/>
      <c r="V199" s="3"/>
      <c r="W199" s="3"/>
    </row>
    <row r="200" ht="14.25" customHeight="1">
      <c r="A200" s="82"/>
      <c r="B200" s="83"/>
      <c r="C200" s="83"/>
      <c r="D200" s="83"/>
      <c r="E200" s="3"/>
      <c r="F200" s="3"/>
      <c r="G200" s="83"/>
      <c r="H200" s="83"/>
      <c r="I200" s="3"/>
      <c r="J200" s="3"/>
      <c r="K200" s="3"/>
      <c r="L200" s="3"/>
      <c r="M200" s="3"/>
      <c r="N200" s="3"/>
      <c r="O200" s="3"/>
      <c r="P200" s="3"/>
      <c r="Q200" s="3"/>
      <c r="R200" s="3"/>
      <c r="S200" s="3"/>
      <c r="T200" s="3"/>
      <c r="U200" s="3"/>
      <c r="V200" s="3"/>
      <c r="W200" s="3"/>
    </row>
    <row r="201" ht="14.25" customHeight="1">
      <c r="A201" s="82"/>
      <c r="B201" s="83"/>
      <c r="C201" s="83"/>
      <c r="D201" s="83"/>
      <c r="E201" s="3"/>
      <c r="F201" s="3"/>
      <c r="G201" s="83"/>
      <c r="H201" s="83"/>
      <c r="I201" s="3"/>
      <c r="J201" s="3"/>
      <c r="K201" s="3"/>
      <c r="L201" s="3"/>
      <c r="M201" s="3"/>
      <c r="N201" s="3"/>
      <c r="O201" s="3"/>
      <c r="P201" s="3"/>
      <c r="Q201" s="3"/>
      <c r="R201" s="3"/>
      <c r="S201" s="3"/>
      <c r="T201" s="3"/>
      <c r="U201" s="3"/>
      <c r="V201" s="3"/>
      <c r="W201" s="3"/>
    </row>
    <row r="202" ht="14.25" customHeight="1">
      <c r="A202" s="82"/>
      <c r="B202" s="83"/>
      <c r="C202" s="83"/>
      <c r="D202" s="83"/>
      <c r="E202" s="3"/>
      <c r="F202" s="3"/>
      <c r="G202" s="83"/>
      <c r="H202" s="83"/>
      <c r="I202" s="3"/>
      <c r="J202" s="3"/>
      <c r="K202" s="3"/>
      <c r="L202" s="3"/>
      <c r="M202" s="3"/>
      <c r="N202" s="3"/>
      <c r="O202" s="3"/>
      <c r="P202" s="3"/>
      <c r="Q202" s="3"/>
      <c r="R202" s="3"/>
      <c r="S202" s="3"/>
      <c r="T202" s="3"/>
      <c r="U202" s="3"/>
      <c r="V202" s="3"/>
      <c r="W202" s="3"/>
    </row>
    <row r="203" ht="14.25" customHeight="1">
      <c r="A203" s="82"/>
      <c r="B203" s="83"/>
      <c r="C203" s="83"/>
      <c r="D203" s="83"/>
      <c r="E203" s="3"/>
      <c r="F203" s="3"/>
      <c r="G203" s="83"/>
      <c r="H203" s="83"/>
      <c r="I203" s="3"/>
      <c r="J203" s="3"/>
      <c r="K203" s="3"/>
      <c r="L203" s="3"/>
      <c r="M203" s="3"/>
      <c r="N203" s="3"/>
      <c r="O203" s="3"/>
      <c r="P203" s="3"/>
      <c r="Q203" s="3"/>
      <c r="R203" s="3"/>
      <c r="S203" s="3"/>
      <c r="T203" s="3"/>
      <c r="U203" s="3"/>
      <c r="V203" s="3"/>
      <c r="W203" s="3"/>
    </row>
    <row r="204" ht="14.25" customHeight="1">
      <c r="A204" s="82"/>
      <c r="B204" s="83"/>
      <c r="C204" s="83"/>
      <c r="D204" s="83"/>
      <c r="E204" s="3"/>
      <c r="F204" s="3"/>
      <c r="G204" s="83"/>
      <c r="H204" s="83"/>
      <c r="I204" s="3"/>
      <c r="J204" s="3"/>
      <c r="K204" s="3"/>
      <c r="L204" s="3"/>
      <c r="M204" s="3"/>
      <c r="N204" s="3"/>
      <c r="O204" s="3"/>
      <c r="P204" s="3"/>
      <c r="Q204" s="3"/>
      <c r="R204" s="3"/>
      <c r="S204" s="3"/>
      <c r="T204" s="3"/>
      <c r="U204" s="3"/>
      <c r="V204" s="3"/>
      <c r="W204" s="3"/>
    </row>
    <row r="205" ht="14.25" customHeight="1">
      <c r="A205" s="82"/>
      <c r="B205" s="83"/>
      <c r="C205" s="83"/>
      <c r="D205" s="83"/>
      <c r="E205" s="3"/>
      <c r="F205" s="3"/>
      <c r="G205" s="83"/>
      <c r="H205" s="83"/>
      <c r="I205" s="3"/>
      <c r="J205" s="3"/>
      <c r="K205" s="3"/>
      <c r="L205" s="3"/>
      <c r="M205" s="3"/>
      <c r="N205" s="3"/>
      <c r="O205" s="3"/>
      <c r="P205" s="3"/>
      <c r="Q205" s="3"/>
      <c r="R205" s="3"/>
      <c r="S205" s="3"/>
      <c r="T205" s="3"/>
      <c r="U205" s="3"/>
      <c r="V205" s="3"/>
      <c r="W205" s="3"/>
    </row>
    <row r="206" ht="14.25" customHeight="1">
      <c r="A206" s="82"/>
      <c r="B206" s="83"/>
      <c r="C206" s="83"/>
      <c r="D206" s="83"/>
      <c r="E206" s="3"/>
      <c r="F206" s="3"/>
      <c r="G206" s="83"/>
      <c r="H206" s="83"/>
      <c r="I206" s="3"/>
      <c r="J206" s="3"/>
      <c r="K206" s="3"/>
      <c r="L206" s="3"/>
      <c r="M206" s="3"/>
      <c r="N206" s="3"/>
      <c r="O206" s="3"/>
      <c r="P206" s="3"/>
      <c r="Q206" s="3"/>
      <c r="R206" s="3"/>
      <c r="S206" s="3"/>
      <c r="T206" s="3"/>
      <c r="U206" s="3"/>
      <c r="V206" s="3"/>
      <c r="W206" s="3"/>
    </row>
    <row r="207" ht="14.25" customHeight="1">
      <c r="A207" s="82"/>
      <c r="B207" s="83"/>
      <c r="C207" s="83"/>
      <c r="D207" s="83"/>
      <c r="E207" s="3"/>
      <c r="F207" s="3"/>
      <c r="G207" s="83"/>
      <c r="H207" s="83"/>
      <c r="I207" s="3"/>
      <c r="J207" s="3"/>
      <c r="K207" s="3"/>
      <c r="L207" s="3"/>
      <c r="M207" s="3"/>
      <c r="N207" s="3"/>
      <c r="O207" s="3"/>
      <c r="P207" s="3"/>
      <c r="Q207" s="3"/>
      <c r="R207" s="3"/>
      <c r="S207" s="3"/>
      <c r="T207" s="3"/>
      <c r="U207" s="3"/>
      <c r="V207" s="3"/>
      <c r="W207" s="3"/>
    </row>
    <row r="208" ht="14.25" customHeight="1">
      <c r="A208" s="82"/>
      <c r="B208" s="83"/>
      <c r="C208" s="83"/>
      <c r="D208" s="83"/>
      <c r="E208" s="3"/>
      <c r="F208" s="3"/>
      <c r="G208" s="83"/>
      <c r="H208" s="83"/>
      <c r="I208" s="3"/>
      <c r="J208" s="3"/>
      <c r="K208" s="3"/>
      <c r="L208" s="3"/>
      <c r="M208" s="3"/>
      <c r="N208" s="3"/>
      <c r="O208" s="3"/>
      <c r="P208" s="3"/>
      <c r="Q208" s="3"/>
      <c r="R208" s="3"/>
      <c r="S208" s="3"/>
      <c r="T208" s="3"/>
      <c r="U208" s="3"/>
      <c r="V208" s="3"/>
      <c r="W208" s="3"/>
    </row>
    <row r="209" ht="14.25" customHeight="1">
      <c r="A209" s="82"/>
      <c r="B209" s="83"/>
      <c r="C209" s="83"/>
      <c r="D209" s="83"/>
      <c r="E209" s="3"/>
      <c r="F209" s="3"/>
      <c r="G209" s="83"/>
      <c r="H209" s="83"/>
      <c r="I209" s="3"/>
      <c r="J209" s="3"/>
      <c r="K209" s="3"/>
      <c r="L209" s="3"/>
      <c r="M209" s="3"/>
      <c r="N209" s="3"/>
      <c r="O209" s="3"/>
      <c r="P209" s="3"/>
      <c r="Q209" s="3"/>
      <c r="R209" s="3"/>
      <c r="S209" s="3"/>
      <c r="T209" s="3"/>
      <c r="U209" s="3"/>
      <c r="V209" s="3"/>
      <c r="W209" s="3"/>
    </row>
    <row r="210" ht="14.25" customHeight="1">
      <c r="A210" s="82"/>
      <c r="B210" s="83"/>
      <c r="C210" s="83"/>
      <c r="D210" s="83"/>
      <c r="E210" s="3"/>
      <c r="F210" s="3"/>
      <c r="G210" s="83"/>
      <c r="H210" s="83"/>
      <c r="I210" s="3"/>
      <c r="J210" s="3"/>
      <c r="K210" s="3"/>
      <c r="L210" s="3"/>
      <c r="M210" s="3"/>
      <c r="N210" s="3"/>
      <c r="O210" s="3"/>
      <c r="P210" s="3"/>
      <c r="Q210" s="3"/>
      <c r="R210" s="3"/>
      <c r="S210" s="3"/>
      <c r="T210" s="3"/>
      <c r="U210" s="3"/>
      <c r="V210" s="3"/>
      <c r="W210" s="3"/>
    </row>
    <row r="211" ht="14.25" customHeight="1">
      <c r="A211" s="82"/>
      <c r="B211" s="83"/>
      <c r="C211" s="83"/>
      <c r="D211" s="83"/>
      <c r="E211" s="3"/>
      <c r="F211" s="3"/>
      <c r="G211" s="83"/>
      <c r="H211" s="83"/>
      <c r="I211" s="3"/>
      <c r="J211" s="3"/>
      <c r="K211" s="3"/>
      <c r="L211" s="3"/>
      <c r="M211" s="3"/>
      <c r="N211" s="3"/>
      <c r="O211" s="3"/>
      <c r="P211" s="3"/>
      <c r="Q211" s="3"/>
      <c r="R211" s="3"/>
      <c r="S211" s="3"/>
      <c r="T211" s="3"/>
      <c r="U211" s="3"/>
      <c r="V211" s="3"/>
      <c r="W211" s="3"/>
    </row>
    <row r="212" ht="14.25" customHeight="1">
      <c r="A212" s="82"/>
      <c r="B212" s="83"/>
      <c r="C212" s="83"/>
      <c r="D212" s="83"/>
      <c r="E212" s="3"/>
      <c r="F212" s="3"/>
      <c r="G212" s="83"/>
      <c r="H212" s="83"/>
      <c r="I212" s="3"/>
      <c r="J212" s="3"/>
      <c r="K212" s="3"/>
      <c r="L212" s="3"/>
      <c r="M212" s="3"/>
      <c r="N212" s="3"/>
      <c r="O212" s="3"/>
      <c r="P212" s="3"/>
      <c r="Q212" s="3"/>
      <c r="R212" s="3"/>
      <c r="S212" s="3"/>
      <c r="T212" s="3"/>
      <c r="U212" s="3"/>
      <c r="V212" s="3"/>
      <c r="W212" s="3"/>
    </row>
    <row r="213" ht="14.25" customHeight="1">
      <c r="A213" s="82"/>
      <c r="B213" s="83"/>
      <c r="C213" s="83"/>
      <c r="D213" s="83"/>
      <c r="E213" s="3"/>
      <c r="F213" s="3"/>
      <c r="G213" s="83"/>
      <c r="H213" s="83"/>
      <c r="I213" s="3"/>
      <c r="J213" s="3"/>
      <c r="K213" s="3"/>
      <c r="L213" s="3"/>
      <c r="M213" s="3"/>
      <c r="N213" s="3"/>
      <c r="O213" s="3"/>
      <c r="P213" s="3"/>
      <c r="Q213" s="3"/>
      <c r="R213" s="3"/>
      <c r="S213" s="3"/>
      <c r="T213" s="3"/>
      <c r="U213" s="3"/>
      <c r="V213" s="3"/>
      <c r="W213" s="3"/>
    </row>
    <row r="214" ht="14.25" customHeight="1">
      <c r="A214" s="82"/>
      <c r="B214" s="83"/>
      <c r="C214" s="83"/>
      <c r="D214" s="83"/>
      <c r="E214" s="3"/>
      <c r="F214" s="3"/>
      <c r="G214" s="83"/>
      <c r="H214" s="83"/>
      <c r="I214" s="3"/>
      <c r="J214" s="3"/>
      <c r="K214" s="3"/>
      <c r="L214" s="3"/>
      <c r="M214" s="3"/>
      <c r="N214" s="3"/>
      <c r="O214" s="3"/>
      <c r="P214" s="3"/>
      <c r="Q214" s="3"/>
      <c r="R214" s="3"/>
      <c r="S214" s="3"/>
      <c r="T214" s="3"/>
      <c r="U214" s="3"/>
      <c r="V214" s="3"/>
      <c r="W214" s="3"/>
    </row>
    <row r="215" ht="14.25" customHeight="1">
      <c r="A215" s="82"/>
      <c r="B215" s="83"/>
      <c r="C215" s="83"/>
      <c r="D215" s="83"/>
      <c r="E215" s="3"/>
      <c r="F215" s="3"/>
      <c r="G215" s="83"/>
      <c r="H215" s="83"/>
      <c r="I215" s="3"/>
      <c r="J215" s="3"/>
      <c r="K215" s="3"/>
      <c r="L215" s="3"/>
      <c r="M215" s="3"/>
      <c r="N215" s="3"/>
      <c r="O215" s="3"/>
      <c r="P215" s="3"/>
      <c r="Q215" s="3"/>
      <c r="R215" s="3"/>
      <c r="S215" s="3"/>
      <c r="T215" s="3"/>
      <c r="U215" s="3"/>
      <c r="V215" s="3"/>
      <c r="W215" s="3"/>
    </row>
    <row r="216" ht="14.25" customHeight="1">
      <c r="A216" s="82"/>
      <c r="B216" s="83"/>
      <c r="C216" s="83"/>
      <c r="D216" s="83"/>
      <c r="E216" s="3"/>
      <c r="F216" s="3"/>
      <c r="G216" s="83"/>
      <c r="H216" s="83"/>
      <c r="I216" s="3"/>
      <c r="J216" s="3"/>
      <c r="K216" s="3"/>
      <c r="L216" s="3"/>
      <c r="M216" s="3"/>
      <c r="N216" s="3"/>
      <c r="O216" s="3"/>
      <c r="P216" s="3"/>
      <c r="Q216" s="3"/>
      <c r="R216" s="3"/>
      <c r="S216" s="3"/>
      <c r="T216" s="3"/>
      <c r="U216" s="3"/>
      <c r="V216" s="3"/>
      <c r="W216" s="3"/>
    </row>
    <row r="217" ht="14.25" customHeight="1">
      <c r="A217" s="82"/>
      <c r="B217" s="83"/>
      <c r="C217" s="83"/>
      <c r="D217" s="83"/>
      <c r="E217" s="3"/>
      <c r="F217" s="3"/>
      <c r="G217" s="83"/>
      <c r="H217" s="83"/>
      <c r="I217" s="3"/>
      <c r="J217" s="3"/>
      <c r="K217" s="3"/>
      <c r="L217" s="3"/>
      <c r="M217" s="3"/>
      <c r="N217" s="3"/>
      <c r="O217" s="3"/>
      <c r="P217" s="3"/>
      <c r="Q217" s="3"/>
      <c r="R217" s="3"/>
      <c r="S217" s="3"/>
      <c r="T217" s="3"/>
      <c r="U217" s="3"/>
      <c r="V217" s="3"/>
      <c r="W217" s="3"/>
    </row>
    <row r="218" ht="14.25" customHeight="1">
      <c r="A218" s="82"/>
      <c r="B218" s="83"/>
      <c r="C218" s="83"/>
      <c r="D218" s="83"/>
      <c r="E218" s="3"/>
      <c r="F218" s="3"/>
      <c r="G218" s="83"/>
      <c r="H218" s="83"/>
      <c r="I218" s="3"/>
      <c r="J218" s="3"/>
      <c r="K218" s="3"/>
      <c r="L218" s="3"/>
      <c r="M218" s="3"/>
      <c r="N218" s="3"/>
      <c r="O218" s="3"/>
      <c r="P218" s="3"/>
      <c r="Q218" s="3"/>
      <c r="R218" s="3"/>
      <c r="S218" s="3"/>
      <c r="T218" s="3"/>
      <c r="U218" s="3"/>
      <c r="V218" s="3"/>
      <c r="W218" s="3"/>
    </row>
    <row r="219" ht="14.25" customHeight="1">
      <c r="A219" s="82"/>
      <c r="B219" s="83"/>
      <c r="C219" s="83"/>
      <c r="D219" s="83"/>
      <c r="E219" s="3"/>
      <c r="F219" s="3"/>
      <c r="G219" s="83"/>
      <c r="H219" s="83"/>
      <c r="I219" s="3"/>
      <c r="J219" s="3"/>
      <c r="K219" s="3"/>
      <c r="L219" s="3"/>
      <c r="M219" s="3"/>
      <c r="N219" s="3"/>
      <c r="O219" s="3"/>
      <c r="P219" s="3"/>
      <c r="Q219" s="3"/>
      <c r="R219" s="3"/>
      <c r="S219" s="3"/>
      <c r="T219" s="3"/>
      <c r="U219" s="3"/>
      <c r="V219" s="3"/>
      <c r="W219" s="3"/>
    </row>
    <row r="220" ht="14.25" customHeight="1">
      <c r="A220" s="82"/>
      <c r="B220" s="83"/>
      <c r="C220" s="83"/>
      <c r="D220" s="83"/>
      <c r="E220" s="3"/>
      <c r="F220" s="3"/>
      <c r="G220" s="83"/>
      <c r="H220" s="83"/>
      <c r="I220" s="3"/>
      <c r="J220" s="3"/>
      <c r="K220" s="3"/>
      <c r="L220" s="3"/>
      <c r="M220" s="3"/>
      <c r="N220" s="3"/>
      <c r="O220" s="3"/>
      <c r="P220" s="3"/>
      <c r="Q220" s="3"/>
      <c r="R220" s="3"/>
      <c r="S220" s="3"/>
      <c r="T220" s="3"/>
      <c r="U220" s="3"/>
      <c r="V220" s="3"/>
      <c r="W220" s="3"/>
    </row>
    <row r="221" ht="14.25" customHeight="1">
      <c r="A221" s="82"/>
      <c r="B221" s="83"/>
      <c r="C221" s="83"/>
      <c r="D221" s="83"/>
      <c r="E221" s="3"/>
      <c r="F221" s="3"/>
      <c r="G221" s="83"/>
      <c r="H221" s="83"/>
      <c r="I221" s="3"/>
      <c r="J221" s="3"/>
      <c r="K221" s="3"/>
      <c r="L221" s="3"/>
      <c r="M221" s="3"/>
      <c r="N221" s="3"/>
      <c r="O221" s="3"/>
      <c r="P221" s="3"/>
      <c r="Q221" s="3"/>
      <c r="R221" s="3"/>
      <c r="S221" s="3"/>
      <c r="T221" s="3"/>
      <c r="U221" s="3"/>
      <c r="V221" s="3"/>
      <c r="W221" s="3"/>
    </row>
    <row r="222" ht="14.25" customHeight="1">
      <c r="A222" s="82"/>
      <c r="B222" s="83"/>
      <c r="C222" s="83"/>
      <c r="D222" s="83"/>
      <c r="E222" s="3"/>
      <c r="F222" s="3"/>
      <c r="G222" s="83"/>
      <c r="H222" s="83"/>
      <c r="I222" s="3"/>
      <c r="J222" s="3"/>
      <c r="K222" s="3"/>
      <c r="L222" s="3"/>
      <c r="M222" s="3"/>
      <c r="N222" s="3"/>
      <c r="O222" s="3"/>
      <c r="P222" s="3"/>
      <c r="Q222" s="3"/>
      <c r="R222" s="3"/>
      <c r="S222" s="3"/>
      <c r="T222" s="3"/>
      <c r="U222" s="3"/>
      <c r="V222" s="3"/>
      <c r="W222" s="3"/>
    </row>
    <row r="223" ht="14.25" customHeight="1">
      <c r="A223" s="82"/>
      <c r="B223" s="83"/>
      <c r="C223" s="83"/>
      <c r="D223" s="83"/>
      <c r="E223" s="3"/>
      <c r="F223" s="3"/>
      <c r="G223" s="83"/>
      <c r="H223" s="83"/>
      <c r="I223" s="3"/>
      <c r="J223" s="3"/>
      <c r="K223" s="3"/>
      <c r="L223" s="3"/>
      <c r="M223" s="3"/>
      <c r="N223" s="3"/>
      <c r="O223" s="3"/>
      <c r="P223" s="3"/>
      <c r="Q223" s="3"/>
      <c r="R223" s="3"/>
      <c r="S223" s="3"/>
      <c r="T223" s="3"/>
      <c r="U223" s="3"/>
      <c r="V223" s="3"/>
      <c r="W223" s="3"/>
    </row>
    <row r="224" ht="14.25" customHeight="1">
      <c r="A224" s="82"/>
      <c r="B224" s="83"/>
      <c r="C224" s="83"/>
      <c r="D224" s="83"/>
      <c r="E224" s="3"/>
      <c r="F224" s="3"/>
      <c r="G224" s="83"/>
      <c r="H224" s="83"/>
      <c r="I224" s="3"/>
      <c r="J224" s="3"/>
      <c r="K224" s="3"/>
      <c r="L224" s="3"/>
      <c r="M224" s="3"/>
      <c r="N224" s="3"/>
      <c r="O224" s="3"/>
      <c r="P224" s="3"/>
      <c r="Q224" s="3"/>
      <c r="R224" s="3"/>
      <c r="S224" s="3"/>
      <c r="T224" s="3"/>
      <c r="U224" s="3"/>
      <c r="V224" s="3"/>
      <c r="W224" s="3"/>
    </row>
    <row r="225" ht="14.25" customHeight="1">
      <c r="A225" s="82"/>
      <c r="B225" s="83"/>
      <c r="C225" s="83"/>
      <c r="D225" s="83"/>
      <c r="E225" s="3"/>
      <c r="F225" s="3"/>
      <c r="G225" s="83"/>
      <c r="H225" s="83"/>
      <c r="I225" s="3"/>
      <c r="J225" s="3"/>
      <c r="K225" s="3"/>
      <c r="L225" s="3"/>
      <c r="M225" s="3"/>
      <c r="N225" s="3"/>
      <c r="O225" s="3"/>
      <c r="P225" s="3"/>
      <c r="Q225" s="3"/>
      <c r="R225" s="3"/>
      <c r="S225" s="3"/>
      <c r="T225" s="3"/>
      <c r="U225" s="3"/>
      <c r="V225" s="3"/>
      <c r="W225" s="3"/>
    </row>
    <row r="226" ht="15.75" customHeight="1">
      <c r="A226" s="81"/>
      <c r="B226" s="3"/>
      <c r="C226" s="3"/>
      <c r="D226" s="3"/>
      <c r="E226" s="3"/>
      <c r="F226" s="3"/>
      <c r="G226" s="3"/>
      <c r="H226" s="3"/>
      <c r="I226" s="3"/>
      <c r="J226" s="3"/>
      <c r="K226" s="3"/>
      <c r="L226" s="3"/>
      <c r="M226" s="3"/>
      <c r="N226" s="3"/>
      <c r="O226" s="3"/>
      <c r="P226" s="3"/>
      <c r="Q226" s="3"/>
      <c r="R226" s="3"/>
      <c r="S226" s="3"/>
      <c r="T226" s="3"/>
      <c r="U226" s="3"/>
      <c r="V226" s="3"/>
      <c r="W226" s="3"/>
    </row>
    <row r="227" ht="15.75" customHeight="1">
      <c r="A227" s="81"/>
      <c r="B227" s="3"/>
      <c r="C227" s="3"/>
      <c r="D227" s="3"/>
      <c r="E227" s="3"/>
      <c r="F227" s="3"/>
      <c r="G227" s="3"/>
      <c r="H227" s="3"/>
      <c r="I227" s="3"/>
      <c r="J227" s="3"/>
      <c r="K227" s="3"/>
      <c r="L227" s="3"/>
      <c r="M227" s="3"/>
      <c r="N227" s="3"/>
      <c r="O227" s="3"/>
      <c r="P227" s="3"/>
      <c r="Q227" s="3"/>
      <c r="R227" s="3"/>
      <c r="S227" s="3"/>
      <c r="T227" s="3"/>
      <c r="U227" s="3"/>
      <c r="V227" s="3"/>
      <c r="W227" s="3"/>
    </row>
    <row r="228" ht="15.75" customHeight="1">
      <c r="A228" s="81"/>
      <c r="B228" s="3"/>
      <c r="C228" s="3"/>
      <c r="D228" s="3"/>
      <c r="E228" s="3"/>
      <c r="F228" s="3"/>
      <c r="G228" s="3"/>
      <c r="H228" s="3"/>
      <c r="I228" s="3"/>
      <c r="J228" s="3"/>
      <c r="K228" s="3"/>
      <c r="L228" s="3"/>
      <c r="M228" s="3"/>
      <c r="N228" s="3"/>
      <c r="O228" s="3"/>
      <c r="P228" s="3"/>
      <c r="Q228" s="3"/>
      <c r="R228" s="3"/>
      <c r="S228" s="3"/>
      <c r="T228" s="3"/>
      <c r="U228" s="3"/>
      <c r="V228" s="3"/>
      <c r="W228" s="3"/>
    </row>
    <row r="229" ht="15.75" customHeight="1">
      <c r="A229" s="81"/>
      <c r="B229" s="3"/>
      <c r="C229" s="3"/>
      <c r="D229" s="3"/>
      <c r="E229" s="3"/>
      <c r="F229" s="3"/>
      <c r="G229" s="3"/>
      <c r="H229" s="3"/>
      <c r="I229" s="3"/>
      <c r="J229" s="3"/>
      <c r="K229" s="3"/>
      <c r="L229" s="3"/>
      <c r="M229" s="3"/>
      <c r="N229" s="3"/>
      <c r="O229" s="3"/>
      <c r="P229" s="3"/>
      <c r="Q229" s="3"/>
      <c r="R229" s="3"/>
      <c r="S229" s="3"/>
      <c r="T229" s="3"/>
      <c r="U229" s="3"/>
      <c r="V229" s="3"/>
      <c r="W229" s="3"/>
    </row>
    <row r="230" ht="15.75" customHeight="1">
      <c r="A230" s="81"/>
      <c r="B230" s="3"/>
      <c r="C230" s="3"/>
      <c r="D230" s="3"/>
      <c r="E230" s="3"/>
      <c r="F230" s="3"/>
      <c r="G230" s="3"/>
      <c r="H230" s="3"/>
      <c r="I230" s="3"/>
      <c r="J230" s="3"/>
      <c r="K230" s="3"/>
      <c r="L230" s="3"/>
      <c r="M230" s="3"/>
      <c r="N230" s="3"/>
      <c r="O230" s="3"/>
      <c r="P230" s="3"/>
      <c r="Q230" s="3"/>
      <c r="R230" s="3"/>
      <c r="S230" s="3"/>
      <c r="T230" s="3"/>
      <c r="U230" s="3"/>
      <c r="V230" s="3"/>
      <c r="W230" s="3"/>
    </row>
    <row r="231" ht="15.75" customHeight="1">
      <c r="A231" s="81"/>
      <c r="B231" s="3"/>
      <c r="C231" s="3"/>
      <c r="D231" s="3"/>
      <c r="E231" s="3"/>
      <c r="F231" s="3"/>
      <c r="G231" s="3"/>
      <c r="H231" s="3"/>
      <c r="I231" s="3"/>
      <c r="J231" s="3"/>
      <c r="K231" s="3"/>
      <c r="L231" s="3"/>
      <c r="M231" s="3"/>
      <c r="N231" s="3"/>
      <c r="O231" s="3"/>
      <c r="P231" s="3"/>
      <c r="Q231" s="3"/>
      <c r="R231" s="3"/>
      <c r="S231" s="3"/>
      <c r="T231" s="3"/>
      <c r="U231" s="3"/>
      <c r="V231" s="3"/>
      <c r="W231" s="3"/>
    </row>
    <row r="232" ht="15.75" customHeight="1">
      <c r="A232" s="81"/>
      <c r="B232" s="3"/>
      <c r="C232" s="3"/>
      <c r="D232" s="3"/>
      <c r="E232" s="3"/>
      <c r="F232" s="3"/>
      <c r="G232" s="3"/>
      <c r="H232" s="3"/>
      <c r="I232" s="3"/>
      <c r="J232" s="3"/>
      <c r="K232" s="3"/>
      <c r="L232" s="3"/>
      <c r="M232" s="3"/>
      <c r="N232" s="3"/>
      <c r="O232" s="3"/>
      <c r="P232" s="3"/>
      <c r="Q232" s="3"/>
      <c r="R232" s="3"/>
      <c r="S232" s="3"/>
      <c r="T232" s="3"/>
      <c r="U232" s="3"/>
      <c r="V232" s="3"/>
      <c r="W232" s="3"/>
    </row>
    <row r="233" ht="15.75" customHeight="1">
      <c r="A233" s="81"/>
      <c r="B233" s="3"/>
      <c r="C233" s="3"/>
      <c r="D233" s="3"/>
      <c r="E233" s="3"/>
      <c r="F233" s="3"/>
      <c r="G233" s="3"/>
      <c r="H233" s="3"/>
      <c r="I233" s="3"/>
      <c r="J233" s="3"/>
      <c r="K233" s="3"/>
      <c r="L233" s="3"/>
      <c r="M233" s="3"/>
      <c r="N233" s="3"/>
      <c r="O233" s="3"/>
      <c r="P233" s="3"/>
      <c r="Q233" s="3"/>
      <c r="R233" s="3"/>
      <c r="S233" s="3"/>
      <c r="T233" s="3"/>
      <c r="U233" s="3"/>
      <c r="V233" s="3"/>
      <c r="W233" s="3"/>
    </row>
    <row r="234" ht="15.75" customHeight="1">
      <c r="A234" s="81"/>
      <c r="B234" s="3"/>
      <c r="C234" s="3"/>
      <c r="D234" s="3"/>
      <c r="E234" s="3"/>
      <c r="F234" s="3"/>
      <c r="G234" s="3"/>
      <c r="H234" s="3"/>
      <c r="I234" s="3"/>
      <c r="J234" s="3"/>
      <c r="K234" s="3"/>
      <c r="L234" s="3"/>
      <c r="M234" s="3"/>
      <c r="N234" s="3"/>
      <c r="O234" s="3"/>
      <c r="P234" s="3"/>
      <c r="Q234" s="3"/>
      <c r="R234" s="3"/>
      <c r="S234" s="3"/>
      <c r="T234" s="3"/>
      <c r="U234" s="3"/>
      <c r="V234" s="3"/>
      <c r="W234" s="3"/>
    </row>
    <row r="235" ht="15.75" customHeight="1">
      <c r="A235" s="81"/>
      <c r="B235" s="3"/>
      <c r="C235" s="3"/>
      <c r="D235" s="3"/>
      <c r="E235" s="3"/>
      <c r="F235" s="3"/>
      <c r="G235" s="3"/>
      <c r="H235" s="3"/>
      <c r="I235" s="3"/>
      <c r="J235" s="3"/>
      <c r="K235" s="3"/>
      <c r="L235" s="3"/>
      <c r="M235" s="3"/>
      <c r="N235" s="3"/>
      <c r="O235" s="3"/>
      <c r="P235" s="3"/>
      <c r="Q235" s="3"/>
      <c r="R235" s="3"/>
      <c r="S235" s="3"/>
      <c r="T235" s="3"/>
      <c r="U235" s="3"/>
      <c r="V235" s="3"/>
      <c r="W235" s="3"/>
    </row>
    <row r="236" ht="15.75" customHeight="1">
      <c r="A236" s="81"/>
      <c r="B236" s="3"/>
      <c r="C236" s="3"/>
      <c r="D236" s="3"/>
      <c r="E236" s="3"/>
      <c r="F236" s="3"/>
      <c r="G236" s="3"/>
      <c r="H236" s="3"/>
      <c r="I236" s="3"/>
      <c r="J236" s="3"/>
      <c r="K236" s="3"/>
      <c r="L236" s="3"/>
      <c r="M236" s="3"/>
      <c r="N236" s="3"/>
      <c r="O236" s="3"/>
      <c r="P236" s="3"/>
      <c r="Q236" s="3"/>
      <c r="R236" s="3"/>
      <c r="S236" s="3"/>
      <c r="T236" s="3"/>
      <c r="U236" s="3"/>
      <c r="V236" s="3"/>
      <c r="W236" s="3"/>
    </row>
    <row r="237" ht="15.75" customHeight="1">
      <c r="A237" s="81"/>
      <c r="B237" s="3"/>
      <c r="C237" s="3"/>
      <c r="D237" s="3"/>
      <c r="E237" s="3"/>
      <c r="F237" s="3"/>
      <c r="G237" s="3"/>
      <c r="H237" s="3"/>
      <c r="I237" s="3"/>
      <c r="J237" s="3"/>
      <c r="K237" s="3"/>
      <c r="L237" s="3"/>
      <c r="M237" s="3"/>
      <c r="N237" s="3"/>
      <c r="O237" s="3"/>
      <c r="P237" s="3"/>
      <c r="Q237" s="3"/>
      <c r="R237" s="3"/>
      <c r="S237" s="3"/>
      <c r="T237" s="3"/>
      <c r="U237" s="3"/>
      <c r="V237" s="3"/>
      <c r="W237" s="3"/>
    </row>
    <row r="238" ht="15.75" customHeight="1">
      <c r="A238" s="81"/>
      <c r="B238" s="3"/>
      <c r="C238" s="3"/>
      <c r="D238" s="3"/>
      <c r="E238" s="3"/>
      <c r="F238" s="3"/>
      <c r="G238" s="3"/>
      <c r="H238" s="3"/>
      <c r="I238" s="3"/>
      <c r="J238" s="3"/>
      <c r="K238" s="3"/>
      <c r="L238" s="3"/>
      <c r="M238" s="3"/>
      <c r="N238" s="3"/>
      <c r="O238" s="3"/>
      <c r="P238" s="3"/>
      <c r="Q238" s="3"/>
      <c r="R238" s="3"/>
      <c r="S238" s="3"/>
      <c r="T238" s="3"/>
      <c r="U238" s="3"/>
      <c r="V238" s="3"/>
      <c r="W238" s="3"/>
    </row>
    <row r="239" ht="15.75" customHeight="1">
      <c r="A239" s="81"/>
      <c r="B239" s="3"/>
      <c r="C239" s="3"/>
      <c r="D239" s="3"/>
      <c r="E239" s="3"/>
      <c r="F239" s="3"/>
      <c r="G239" s="3"/>
      <c r="H239" s="3"/>
      <c r="I239" s="3"/>
      <c r="J239" s="3"/>
      <c r="K239" s="3"/>
      <c r="L239" s="3"/>
      <c r="M239" s="3"/>
      <c r="N239" s="3"/>
      <c r="O239" s="3"/>
      <c r="P239" s="3"/>
      <c r="Q239" s="3"/>
      <c r="R239" s="3"/>
      <c r="S239" s="3"/>
      <c r="T239" s="3"/>
      <c r="U239" s="3"/>
      <c r="V239" s="3"/>
      <c r="W239" s="3"/>
    </row>
    <row r="240" ht="15.75" customHeight="1">
      <c r="A240" s="81"/>
      <c r="B240" s="3"/>
      <c r="C240" s="3"/>
      <c r="D240" s="3"/>
      <c r="E240" s="3"/>
      <c r="F240" s="3"/>
      <c r="G240" s="3"/>
      <c r="H240" s="3"/>
      <c r="I240" s="3"/>
      <c r="J240" s="3"/>
      <c r="K240" s="3"/>
      <c r="L240" s="3"/>
      <c r="M240" s="3"/>
      <c r="N240" s="3"/>
      <c r="O240" s="3"/>
      <c r="P240" s="3"/>
      <c r="Q240" s="3"/>
      <c r="R240" s="3"/>
      <c r="S240" s="3"/>
      <c r="T240" s="3"/>
      <c r="U240" s="3"/>
      <c r="V240" s="3"/>
      <c r="W240" s="3"/>
    </row>
    <row r="241" ht="15.75" customHeight="1">
      <c r="A241" s="81"/>
      <c r="B241" s="3"/>
      <c r="C241" s="3"/>
      <c r="D241" s="3"/>
      <c r="E241" s="3"/>
      <c r="F241" s="3"/>
      <c r="G241" s="3"/>
      <c r="H241" s="3"/>
      <c r="I241" s="3"/>
      <c r="J241" s="3"/>
      <c r="K241" s="3"/>
      <c r="L241" s="3"/>
      <c r="M241" s="3"/>
      <c r="N241" s="3"/>
      <c r="O241" s="3"/>
      <c r="P241" s="3"/>
      <c r="Q241" s="3"/>
      <c r="R241" s="3"/>
      <c r="S241" s="3"/>
      <c r="T241" s="3"/>
      <c r="U241" s="3"/>
      <c r="V241" s="3"/>
      <c r="W241" s="3"/>
    </row>
    <row r="242" ht="15.75" customHeight="1">
      <c r="A242" s="81"/>
      <c r="B242" s="3"/>
      <c r="C242" s="3"/>
      <c r="D242" s="3"/>
      <c r="E242" s="3"/>
      <c r="F242" s="3"/>
      <c r="G242" s="3"/>
      <c r="H242" s="3"/>
      <c r="I242" s="3"/>
      <c r="J242" s="3"/>
      <c r="K242" s="3"/>
      <c r="L242" s="3"/>
      <c r="M242" s="3"/>
      <c r="N242" s="3"/>
      <c r="O242" s="3"/>
      <c r="P242" s="3"/>
      <c r="Q242" s="3"/>
      <c r="R242" s="3"/>
      <c r="S242" s="3"/>
      <c r="T242" s="3"/>
      <c r="U242" s="3"/>
      <c r="V242" s="3"/>
      <c r="W242" s="3"/>
    </row>
    <row r="243" ht="15.75" customHeight="1">
      <c r="A243" s="81"/>
      <c r="B243" s="3"/>
      <c r="C243" s="3"/>
      <c r="D243" s="3"/>
      <c r="E243" s="3"/>
      <c r="F243" s="3"/>
      <c r="G243" s="3"/>
      <c r="H243" s="3"/>
      <c r="I243" s="3"/>
      <c r="J243" s="3"/>
      <c r="K243" s="3"/>
      <c r="L243" s="3"/>
      <c r="M243" s="3"/>
      <c r="N243" s="3"/>
      <c r="O243" s="3"/>
      <c r="P243" s="3"/>
      <c r="Q243" s="3"/>
      <c r="R243" s="3"/>
      <c r="S243" s="3"/>
      <c r="T243" s="3"/>
      <c r="U243" s="3"/>
      <c r="V243" s="3"/>
      <c r="W243" s="3"/>
    </row>
    <row r="244" ht="15.75" customHeight="1">
      <c r="A244" s="81"/>
      <c r="B244" s="3"/>
      <c r="C244" s="3"/>
      <c r="D244" s="3"/>
      <c r="E244" s="3"/>
      <c r="F244" s="3"/>
      <c r="G244" s="3"/>
      <c r="H244" s="3"/>
      <c r="I244" s="3"/>
      <c r="J244" s="3"/>
      <c r="K244" s="3"/>
      <c r="L244" s="3"/>
      <c r="M244" s="3"/>
      <c r="N244" s="3"/>
      <c r="O244" s="3"/>
      <c r="P244" s="3"/>
      <c r="Q244" s="3"/>
      <c r="R244" s="3"/>
      <c r="S244" s="3"/>
      <c r="T244" s="3"/>
      <c r="U244" s="3"/>
      <c r="V244" s="3"/>
      <c r="W244" s="3"/>
    </row>
    <row r="245" ht="15.75" customHeight="1">
      <c r="A245" s="81"/>
      <c r="B245" s="3"/>
      <c r="C245" s="3"/>
      <c r="D245" s="3"/>
      <c r="E245" s="3"/>
      <c r="F245" s="3"/>
      <c r="G245" s="3"/>
      <c r="H245" s="3"/>
      <c r="I245" s="3"/>
      <c r="J245" s="3"/>
      <c r="K245" s="3"/>
      <c r="L245" s="3"/>
      <c r="M245" s="3"/>
      <c r="N245" s="3"/>
      <c r="O245" s="3"/>
      <c r="P245" s="3"/>
      <c r="Q245" s="3"/>
      <c r="R245" s="3"/>
      <c r="S245" s="3"/>
      <c r="T245" s="3"/>
      <c r="U245" s="3"/>
      <c r="V245" s="3"/>
      <c r="W245" s="3"/>
    </row>
    <row r="246" ht="15.75" customHeight="1">
      <c r="A246" s="81"/>
      <c r="B246" s="3"/>
      <c r="C246" s="3"/>
      <c r="D246" s="3"/>
      <c r="E246" s="3"/>
      <c r="F246" s="3"/>
      <c r="G246" s="3"/>
      <c r="H246" s="3"/>
      <c r="I246" s="3"/>
      <c r="J246" s="3"/>
      <c r="K246" s="3"/>
      <c r="L246" s="3"/>
      <c r="M246" s="3"/>
      <c r="N246" s="3"/>
      <c r="O246" s="3"/>
      <c r="P246" s="3"/>
      <c r="Q246" s="3"/>
      <c r="R246" s="3"/>
      <c r="S246" s="3"/>
      <c r="T246" s="3"/>
      <c r="U246" s="3"/>
      <c r="V246" s="3"/>
      <c r="W246" s="3"/>
    </row>
    <row r="247" ht="15.75" customHeight="1">
      <c r="A247" s="81"/>
      <c r="B247" s="3"/>
      <c r="C247" s="3"/>
      <c r="D247" s="3"/>
      <c r="E247" s="3"/>
      <c r="F247" s="3"/>
      <c r="G247" s="3"/>
      <c r="H247" s="3"/>
      <c r="I247" s="3"/>
      <c r="J247" s="3"/>
      <c r="K247" s="3"/>
      <c r="L247" s="3"/>
      <c r="M247" s="3"/>
      <c r="N247" s="3"/>
      <c r="O247" s="3"/>
      <c r="P247" s="3"/>
      <c r="Q247" s="3"/>
      <c r="R247" s="3"/>
      <c r="S247" s="3"/>
      <c r="T247" s="3"/>
      <c r="U247" s="3"/>
      <c r="V247" s="3"/>
      <c r="W247" s="3"/>
    </row>
    <row r="248" ht="15.75" customHeight="1">
      <c r="A248" s="81"/>
      <c r="B248" s="3"/>
      <c r="C248" s="3"/>
      <c r="D248" s="3"/>
      <c r="E248" s="3"/>
      <c r="F248" s="3"/>
      <c r="G248" s="3"/>
      <c r="H248" s="3"/>
      <c r="I248" s="3"/>
      <c r="J248" s="3"/>
      <c r="K248" s="3"/>
      <c r="L248" s="3"/>
      <c r="M248" s="3"/>
      <c r="N248" s="3"/>
      <c r="O248" s="3"/>
      <c r="P248" s="3"/>
      <c r="Q248" s="3"/>
      <c r="R248" s="3"/>
      <c r="S248" s="3"/>
      <c r="T248" s="3"/>
      <c r="U248" s="3"/>
      <c r="V248" s="3"/>
      <c r="W248" s="3"/>
    </row>
    <row r="249" ht="15.75" customHeight="1">
      <c r="A249" s="81"/>
      <c r="B249" s="3"/>
      <c r="C249" s="3"/>
      <c r="D249" s="3"/>
      <c r="E249" s="3"/>
      <c r="F249" s="3"/>
      <c r="G249" s="3"/>
      <c r="H249" s="3"/>
      <c r="I249" s="3"/>
      <c r="J249" s="3"/>
      <c r="K249" s="3"/>
      <c r="L249" s="3"/>
      <c r="M249" s="3"/>
      <c r="N249" s="3"/>
      <c r="O249" s="3"/>
      <c r="P249" s="3"/>
      <c r="Q249" s="3"/>
      <c r="R249" s="3"/>
      <c r="S249" s="3"/>
      <c r="T249" s="3"/>
      <c r="U249" s="3"/>
      <c r="V249" s="3"/>
      <c r="W249" s="3"/>
    </row>
    <row r="250" ht="15.75" customHeight="1">
      <c r="A250" s="81"/>
      <c r="B250" s="3"/>
      <c r="C250" s="3"/>
      <c r="D250" s="3"/>
      <c r="E250" s="3"/>
      <c r="F250" s="3"/>
      <c r="G250" s="3"/>
      <c r="H250" s="3"/>
      <c r="I250" s="3"/>
      <c r="J250" s="3"/>
      <c r="K250" s="3"/>
      <c r="L250" s="3"/>
      <c r="M250" s="3"/>
      <c r="N250" s="3"/>
      <c r="O250" s="3"/>
      <c r="P250" s="3"/>
      <c r="Q250" s="3"/>
      <c r="R250" s="3"/>
      <c r="S250" s="3"/>
      <c r="T250" s="3"/>
      <c r="U250" s="3"/>
      <c r="V250" s="3"/>
      <c r="W250" s="3"/>
    </row>
    <row r="251" ht="15.75" customHeight="1">
      <c r="A251" s="81"/>
      <c r="B251" s="3"/>
      <c r="C251" s="3"/>
      <c r="D251" s="3"/>
      <c r="E251" s="3"/>
      <c r="F251" s="3"/>
      <c r="G251" s="3"/>
      <c r="H251" s="3"/>
      <c r="I251" s="3"/>
      <c r="J251" s="3"/>
      <c r="K251" s="3"/>
      <c r="L251" s="3"/>
      <c r="M251" s="3"/>
      <c r="N251" s="3"/>
      <c r="O251" s="3"/>
      <c r="P251" s="3"/>
      <c r="Q251" s="3"/>
      <c r="R251" s="3"/>
      <c r="S251" s="3"/>
      <c r="T251" s="3"/>
      <c r="U251" s="3"/>
      <c r="V251" s="3"/>
      <c r="W251" s="3"/>
    </row>
    <row r="252" ht="15.75" customHeight="1">
      <c r="A252" s="81"/>
      <c r="B252" s="3"/>
      <c r="C252" s="3"/>
      <c r="D252" s="3"/>
      <c r="E252" s="3"/>
      <c r="F252" s="3"/>
      <c r="G252" s="3"/>
      <c r="H252" s="3"/>
      <c r="I252" s="3"/>
      <c r="J252" s="3"/>
      <c r="K252" s="3"/>
      <c r="L252" s="3"/>
      <c r="M252" s="3"/>
      <c r="N252" s="3"/>
      <c r="O252" s="3"/>
      <c r="P252" s="3"/>
      <c r="Q252" s="3"/>
      <c r="R252" s="3"/>
      <c r="S252" s="3"/>
      <c r="T252" s="3"/>
      <c r="U252" s="3"/>
      <c r="V252" s="3"/>
      <c r="W252" s="3"/>
    </row>
    <row r="253" ht="15.75" customHeight="1">
      <c r="A253" s="81"/>
      <c r="B253" s="3"/>
      <c r="C253" s="3"/>
      <c r="D253" s="3"/>
      <c r="E253" s="3"/>
      <c r="F253" s="3"/>
      <c r="G253" s="3"/>
      <c r="H253" s="3"/>
      <c r="I253" s="3"/>
      <c r="J253" s="3"/>
      <c r="K253" s="3"/>
      <c r="L253" s="3"/>
      <c r="M253" s="3"/>
      <c r="N253" s="3"/>
      <c r="O253" s="3"/>
      <c r="P253" s="3"/>
      <c r="Q253" s="3"/>
      <c r="R253" s="3"/>
      <c r="S253" s="3"/>
      <c r="T253" s="3"/>
      <c r="U253" s="3"/>
      <c r="V253" s="3"/>
      <c r="W253" s="3"/>
    </row>
    <row r="254" ht="15.75" customHeight="1">
      <c r="A254" s="81"/>
      <c r="B254" s="3"/>
      <c r="C254" s="3"/>
      <c r="D254" s="3"/>
      <c r="E254" s="3"/>
      <c r="F254" s="3"/>
      <c r="G254" s="3"/>
      <c r="H254" s="3"/>
      <c r="I254" s="3"/>
      <c r="J254" s="3"/>
      <c r="K254" s="3"/>
      <c r="L254" s="3"/>
      <c r="M254" s="3"/>
      <c r="N254" s="3"/>
      <c r="O254" s="3"/>
      <c r="P254" s="3"/>
      <c r="Q254" s="3"/>
      <c r="R254" s="3"/>
      <c r="S254" s="3"/>
      <c r="T254" s="3"/>
      <c r="U254" s="3"/>
      <c r="V254" s="3"/>
      <c r="W254" s="3"/>
    </row>
    <row r="255" ht="15.75" customHeight="1">
      <c r="A255" s="81"/>
      <c r="B255" s="3"/>
      <c r="C255" s="3"/>
      <c r="D255" s="3"/>
      <c r="E255" s="3"/>
      <c r="F255" s="3"/>
      <c r="G255" s="3"/>
      <c r="H255" s="3"/>
      <c r="I255" s="3"/>
      <c r="J255" s="3"/>
      <c r="K255" s="3"/>
      <c r="L255" s="3"/>
      <c r="M255" s="3"/>
      <c r="N255" s="3"/>
      <c r="O255" s="3"/>
      <c r="P255" s="3"/>
      <c r="Q255" s="3"/>
      <c r="R255" s="3"/>
      <c r="S255" s="3"/>
      <c r="T255" s="3"/>
      <c r="U255" s="3"/>
      <c r="V255" s="3"/>
      <c r="W255" s="3"/>
    </row>
    <row r="256" ht="15.75" customHeight="1">
      <c r="A256" s="81"/>
      <c r="B256" s="3"/>
      <c r="C256" s="3"/>
      <c r="D256" s="3"/>
      <c r="E256" s="3"/>
      <c r="F256" s="3"/>
      <c r="G256" s="3"/>
      <c r="H256" s="3"/>
      <c r="I256" s="3"/>
      <c r="J256" s="3"/>
      <c r="K256" s="3"/>
      <c r="L256" s="3"/>
      <c r="M256" s="3"/>
      <c r="N256" s="3"/>
      <c r="O256" s="3"/>
      <c r="P256" s="3"/>
      <c r="Q256" s="3"/>
      <c r="R256" s="3"/>
      <c r="S256" s="3"/>
      <c r="T256" s="3"/>
      <c r="U256" s="3"/>
      <c r="V256" s="3"/>
      <c r="W256" s="3"/>
    </row>
    <row r="257" ht="15.75" customHeight="1">
      <c r="A257" s="81"/>
      <c r="B257" s="3"/>
      <c r="C257" s="3"/>
      <c r="D257" s="3"/>
      <c r="E257" s="3"/>
      <c r="F257" s="3"/>
      <c r="G257" s="3"/>
      <c r="H257" s="3"/>
      <c r="I257" s="3"/>
      <c r="J257" s="3"/>
      <c r="K257" s="3"/>
      <c r="L257" s="3"/>
      <c r="M257" s="3"/>
      <c r="N257" s="3"/>
      <c r="O257" s="3"/>
      <c r="P257" s="3"/>
      <c r="Q257" s="3"/>
      <c r="R257" s="3"/>
      <c r="S257" s="3"/>
      <c r="T257" s="3"/>
      <c r="U257" s="3"/>
      <c r="V257" s="3"/>
      <c r="W257" s="3"/>
    </row>
    <row r="258" ht="15.75" customHeight="1">
      <c r="A258" s="81"/>
      <c r="B258" s="3"/>
      <c r="C258" s="3"/>
      <c r="D258" s="3"/>
      <c r="E258" s="3"/>
      <c r="F258" s="3"/>
      <c r="G258" s="3"/>
      <c r="H258" s="3"/>
      <c r="I258" s="3"/>
      <c r="J258" s="3"/>
      <c r="K258" s="3"/>
      <c r="L258" s="3"/>
      <c r="M258" s="3"/>
      <c r="N258" s="3"/>
      <c r="O258" s="3"/>
      <c r="P258" s="3"/>
      <c r="Q258" s="3"/>
      <c r="R258" s="3"/>
      <c r="S258" s="3"/>
      <c r="T258" s="3"/>
      <c r="U258" s="3"/>
      <c r="V258" s="3"/>
      <c r="W258" s="3"/>
    </row>
    <row r="259" ht="15.75" customHeight="1">
      <c r="A259" s="81"/>
      <c r="B259" s="3"/>
      <c r="C259" s="3"/>
      <c r="D259" s="3"/>
      <c r="E259" s="3"/>
      <c r="F259" s="3"/>
      <c r="G259" s="3"/>
      <c r="H259" s="3"/>
      <c r="I259" s="3"/>
      <c r="J259" s="3"/>
      <c r="K259" s="3"/>
      <c r="L259" s="3"/>
      <c r="M259" s="3"/>
      <c r="N259" s="3"/>
      <c r="O259" s="3"/>
      <c r="P259" s="3"/>
      <c r="Q259" s="3"/>
      <c r="R259" s="3"/>
      <c r="S259" s="3"/>
      <c r="T259" s="3"/>
      <c r="U259" s="3"/>
      <c r="V259" s="3"/>
      <c r="W259" s="3"/>
    </row>
    <row r="260" ht="15.75" customHeight="1">
      <c r="A260" s="81"/>
      <c r="B260" s="3"/>
      <c r="C260" s="3"/>
      <c r="D260" s="3"/>
      <c r="E260" s="3"/>
      <c r="F260" s="3"/>
      <c r="G260" s="3"/>
      <c r="H260" s="3"/>
      <c r="I260" s="3"/>
      <c r="J260" s="3"/>
      <c r="K260" s="3"/>
      <c r="L260" s="3"/>
      <c r="M260" s="3"/>
      <c r="N260" s="3"/>
      <c r="O260" s="3"/>
      <c r="P260" s="3"/>
      <c r="Q260" s="3"/>
      <c r="R260" s="3"/>
      <c r="S260" s="3"/>
      <c r="T260" s="3"/>
      <c r="U260" s="3"/>
      <c r="V260" s="3"/>
      <c r="W260" s="3"/>
    </row>
    <row r="261" ht="15.75" customHeight="1">
      <c r="A261" s="81"/>
      <c r="B261" s="3"/>
      <c r="C261" s="3"/>
      <c r="D261" s="3"/>
      <c r="E261" s="3"/>
      <c r="F261" s="3"/>
      <c r="G261" s="3"/>
      <c r="H261" s="3"/>
      <c r="I261" s="3"/>
      <c r="J261" s="3"/>
      <c r="K261" s="3"/>
      <c r="L261" s="3"/>
      <c r="M261" s="3"/>
      <c r="N261" s="3"/>
      <c r="O261" s="3"/>
      <c r="P261" s="3"/>
      <c r="Q261" s="3"/>
      <c r="R261" s="3"/>
      <c r="S261" s="3"/>
      <c r="T261" s="3"/>
      <c r="U261" s="3"/>
      <c r="V261" s="3"/>
      <c r="W261" s="3"/>
    </row>
    <row r="262" ht="15.75" customHeight="1">
      <c r="A262" s="81"/>
      <c r="B262" s="3"/>
      <c r="C262" s="3"/>
      <c r="D262" s="3"/>
      <c r="E262" s="3"/>
      <c r="F262" s="3"/>
      <c r="G262" s="3"/>
      <c r="H262" s="3"/>
      <c r="I262" s="3"/>
      <c r="J262" s="3"/>
      <c r="K262" s="3"/>
      <c r="L262" s="3"/>
      <c r="M262" s="3"/>
      <c r="N262" s="3"/>
      <c r="O262" s="3"/>
      <c r="P262" s="3"/>
      <c r="Q262" s="3"/>
      <c r="R262" s="3"/>
      <c r="S262" s="3"/>
      <c r="T262" s="3"/>
      <c r="U262" s="3"/>
      <c r="V262" s="3"/>
      <c r="W262" s="3"/>
    </row>
    <row r="263" ht="15.75" customHeight="1">
      <c r="A263" s="81"/>
      <c r="B263" s="3"/>
      <c r="C263" s="3"/>
      <c r="D263" s="3"/>
      <c r="E263" s="3"/>
      <c r="F263" s="3"/>
      <c r="G263" s="3"/>
      <c r="H263" s="3"/>
      <c r="I263" s="3"/>
      <c r="J263" s="3"/>
      <c r="K263" s="3"/>
      <c r="L263" s="3"/>
      <c r="M263" s="3"/>
      <c r="N263" s="3"/>
      <c r="O263" s="3"/>
      <c r="P263" s="3"/>
      <c r="Q263" s="3"/>
      <c r="R263" s="3"/>
      <c r="S263" s="3"/>
      <c r="T263" s="3"/>
      <c r="U263" s="3"/>
      <c r="V263" s="3"/>
      <c r="W263" s="3"/>
    </row>
    <row r="264" ht="15.75" customHeight="1">
      <c r="A264" s="81"/>
      <c r="B264" s="3"/>
      <c r="C264" s="3"/>
      <c r="D264" s="3"/>
      <c r="E264" s="3"/>
      <c r="F264" s="3"/>
      <c r="G264" s="3"/>
      <c r="H264" s="3"/>
      <c r="I264" s="3"/>
      <c r="J264" s="3"/>
      <c r="K264" s="3"/>
      <c r="L264" s="3"/>
      <c r="M264" s="3"/>
      <c r="N264" s="3"/>
      <c r="O264" s="3"/>
      <c r="P264" s="3"/>
      <c r="Q264" s="3"/>
      <c r="R264" s="3"/>
      <c r="S264" s="3"/>
      <c r="T264" s="3"/>
      <c r="U264" s="3"/>
      <c r="V264" s="3"/>
      <c r="W264" s="3"/>
    </row>
    <row r="265" ht="15.75" customHeight="1">
      <c r="A265" s="81"/>
      <c r="B265" s="3"/>
      <c r="C265" s="3"/>
      <c r="D265" s="3"/>
      <c r="E265" s="3"/>
      <c r="F265" s="3"/>
      <c r="G265" s="3"/>
      <c r="H265" s="3"/>
      <c r="I265" s="3"/>
      <c r="J265" s="3"/>
      <c r="K265" s="3"/>
      <c r="L265" s="3"/>
      <c r="M265" s="3"/>
      <c r="N265" s="3"/>
      <c r="O265" s="3"/>
      <c r="P265" s="3"/>
      <c r="Q265" s="3"/>
      <c r="R265" s="3"/>
      <c r="S265" s="3"/>
      <c r="T265" s="3"/>
      <c r="U265" s="3"/>
      <c r="V265" s="3"/>
      <c r="W265" s="3"/>
    </row>
    <row r="266" ht="15.75" customHeight="1">
      <c r="A266" s="81"/>
      <c r="B266" s="3"/>
      <c r="C266" s="3"/>
      <c r="D266" s="3"/>
      <c r="E266" s="3"/>
      <c r="F266" s="3"/>
      <c r="G266" s="3"/>
      <c r="H266" s="3"/>
      <c r="I266" s="3"/>
      <c r="J266" s="3"/>
      <c r="K266" s="3"/>
      <c r="L266" s="3"/>
      <c r="M266" s="3"/>
      <c r="N266" s="3"/>
      <c r="O266" s="3"/>
      <c r="P266" s="3"/>
      <c r="Q266" s="3"/>
      <c r="R266" s="3"/>
      <c r="S266" s="3"/>
      <c r="T266" s="3"/>
      <c r="U266" s="3"/>
      <c r="V266" s="3"/>
      <c r="W266" s="3"/>
    </row>
    <row r="267" ht="15.75" customHeight="1">
      <c r="A267" s="81"/>
      <c r="B267" s="3"/>
      <c r="C267" s="3"/>
      <c r="D267" s="3"/>
      <c r="E267" s="3"/>
      <c r="F267" s="3"/>
      <c r="G267" s="3"/>
      <c r="H267" s="3"/>
      <c r="I267" s="3"/>
      <c r="J267" s="3"/>
      <c r="K267" s="3"/>
      <c r="L267" s="3"/>
      <c r="M267" s="3"/>
      <c r="N267" s="3"/>
      <c r="O267" s="3"/>
      <c r="P267" s="3"/>
      <c r="Q267" s="3"/>
      <c r="R267" s="3"/>
      <c r="S267" s="3"/>
      <c r="T267" s="3"/>
      <c r="U267" s="3"/>
      <c r="V267" s="3"/>
      <c r="W267" s="3"/>
    </row>
    <row r="268" ht="15.75" customHeight="1">
      <c r="A268" s="81"/>
      <c r="B268" s="3"/>
      <c r="C268" s="3"/>
      <c r="D268" s="3"/>
      <c r="E268" s="3"/>
      <c r="F268" s="3"/>
      <c r="G268" s="3"/>
      <c r="H268" s="3"/>
      <c r="I268" s="3"/>
      <c r="J268" s="3"/>
      <c r="K268" s="3"/>
      <c r="L268" s="3"/>
      <c r="M268" s="3"/>
      <c r="N268" s="3"/>
      <c r="O268" s="3"/>
      <c r="P268" s="3"/>
      <c r="Q268" s="3"/>
      <c r="R268" s="3"/>
      <c r="S268" s="3"/>
      <c r="T268" s="3"/>
      <c r="U268" s="3"/>
      <c r="V268" s="3"/>
      <c r="W268" s="3"/>
    </row>
    <row r="269" ht="15.75" customHeight="1">
      <c r="A269" s="81"/>
      <c r="B269" s="3"/>
      <c r="C269" s="3"/>
      <c r="D269" s="3"/>
      <c r="E269" s="3"/>
      <c r="F269" s="3"/>
      <c r="G269" s="3"/>
      <c r="H269" s="3"/>
      <c r="I269" s="3"/>
      <c r="J269" s="3"/>
      <c r="K269" s="3"/>
      <c r="L269" s="3"/>
      <c r="M269" s="3"/>
      <c r="N269" s="3"/>
      <c r="O269" s="3"/>
      <c r="P269" s="3"/>
      <c r="Q269" s="3"/>
      <c r="R269" s="3"/>
      <c r="S269" s="3"/>
      <c r="T269" s="3"/>
      <c r="U269" s="3"/>
      <c r="V269" s="3"/>
      <c r="W269" s="3"/>
    </row>
    <row r="270" ht="15.75" customHeight="1">
      <c r="A270" s="81"/>
      <c r="B270" s="3"/>
      <c r="C270" s="3"/>
      <c r="D270" s="3"/>
      <c r="E270" s="3"/>
      <c r="F270" s="3"/>
      <c r="G270" s="3"/>
      <c r="H270" s="3"/>
      <c r="I270" s="3"/>
      <c r="J270" s="3"/>
      <c r="K270" s="3"/>
      <c r="L270" s="3"/>
      <c r="M270" s="3"/>
      <c r="N270" s="3"/>
      <c r="O270" s="3"/>
      <c r="P270" s="3"/>
      <c r="Q270" s="3"/>
      <c r="R270" s="3"/>
      <c r="S270" s="3"/>
      <c r="T270" s="3"/>
      <c r="U270" s="3"/>
      <c r="V270" s="3"/>
      <c r="W270" s="3"/>
    </row>
    <row r="271" ht="15.75" customHeight="1">
      <c r="A271" s="81"/>
      <c r="B271" s="3"/>
      <c r="C271" s="3"/>
      <c r="D271" s="3"/>
      <c r="E271" s="3"/>
      <c r="F271" s="3"/>
      <c r="G271" s="3"/>
      <c r="H271" s="3"/>
      <c r="I271" s="3"/>
      <c r="J271" s="3"/>
      <c r="K271" s="3"/>
      <c r="L271" s="3"/>
      <c r="M271" s="3"/>
      <c r="N271" s="3"/>
      <c r="O271" s="3"/>
      <c r="P271" s="3"/>
      <c r="Q271" s="3"/>
      <c r="R271" s="3"/>
      <c r="S271" s="3"/>
      <c r="T271" s="3"/>
      <c r="U271" s="3"/>
      <c r="V271" s="3"/>
      <c r="W271" s="3"/>
    </row>
    <row r="272" ht="15.75" customHeight="1">
      <c r="A272" s="81"/>
      <c r="B272" s="3"/>
      <c r="C272" s="3"/>
      <c r="D272" s="3"/>
      <c r="E272" s="3"/>
      <c r="F272" s="3"/>
      <c r="G272" s="3"/>
      <c r="H272" s="3"/>
      <c r="I272" s="3"/>
      <c r="J272" s="3"/>
      <c r="K272" s="3"/>
      <c r="L272" s="3"/>
      <c r="M272" s="3"/>
      <c r="N272" s="3"/>
      <c r="O272" s="3"/>
      <c r="P272" s="3"/>
      <c r="Q272" s="3"/>
      <c r="R272" s="3"/>
      <c r="S272" s="3"/>
      <c r="T272" s="3"/>
      <c r="U272" s="3"/>
      <c r="V272" s="3"/>
      <c r="W272" s="3"/>
    </row>
    <row r="273" ht="15.75" customHeight="1">
      <c r="A273" s="81"/>
      <c r="B273" s="3"/>
      <c r="C273" s="3"/>
      <c r="D273" s="3"/>
      <c r="E273" s="3"/>
      <c r="F273" s="3"/>
      <c r="G273" s="3"/>
      <c r="H273" s="3"/>
      <c r="I273" s="3"/>
      <c r="J273" s="3"/>
      <c r="K273" s="3"/>
      <c r="L273" s="3"/>
      <c r="M273" s="3"/>
      <c r="N273" s="3"/>
      <c r="O273" s="3"/>
      <c r="P273" s="3"/>
      <c r="Q273" s="3"/>
      <c r="R273" s="3"/>
      <c r="S273" s="3"/>
      <c r="T273" s="3"/>
      <c r="U273" s="3"/>
      <c r="V273" s="3"/>
      <c r="W273" s="3"/>
    </row>
    <row r="274" ht="15.75" customHeight="1">
      <c r="A274" s="81"/>
      <c r="B274" s="3"/>
      <c r="C274" s="3"/>
      <c r="D274" s="3"/>
      <c r="E274" s="3"/>
      <c r="F274" s="3"/>
      <c r="G274" s="3"/>
      <c r="H274" s="3"/>
      <c r="I274" s="3"/>
      <c r="J274" s="3"/>
      <c r="K274" s="3"/>
      <c r="L274" s="3"/>
      <c r="M274" s="3"/>
      <c r="N274" s="3"/>
      <c r="O274" s="3"/>
      <c r="P274" s="3"/>
      <c r="Q274" s="3"/>
      <c r="R274" s="3"/>
      <c r="S274" s="3"/>
      <c r="T274" s="3"/>
      <c r="U274" s="3"/>
      <c r="V274" s="3"/>
      <c r="W274" s="3"/>
    </row>
    <row r="275" ht="15.75" customHeight="1">
      <c r="A275" s="81"/>
      <c r="B275" s="3"/>
      <c r="C275" s="3"/>
      <c r="D275" s="3"/>
      <c r="E275" s="3"/>
      <c r="F275" s="3"/>
      <c r="G275" s="3"/>
      <c r="H275" s="3"/>
      <c r="I275" s="3"/>
      <c r="J275" s="3"/>
      <c r="K275" s="3"/>
      <c r="L275" s="3"/>
      <c r="M275" s="3"/>
      <c r="N275" s="3"/>
      <c r="O275" s="3"/>
      <c r="P275" s="3"/>
      <c r="Q275" s="3"/>
      <c r="R275" s="3"/>
      <c r="S275" s="3"/>
      <c r="T275" s="3"/>
      <c r="U275" s="3"/>
      <c r="V275" s="3"/>
      <c r="W275" s="3"/>
    </row>
    <row r="276" ht="15.75" customHeight="1">
      <c r="A276" s="81"/>
      <c r="B276" s="3"/>
      <c r="C276" s="3"/>
      <c r="D276" s="3"/>
      <c r="E276" s="3"/>
      <c r="F276" s="3"/>
      <c r="G276" s="3"/>
      <c r="H276" s="3"/>
      <c r="I276" s="3"/>
      <c r="J276" s="3"/>
      <c r="K276" s="3"/>
      <c r="L276" s="3"/>
      <c r="M276" s="3"/>
      <c r="N276" s="3"/>
      <c r="O276" s="3"/>
      <c r="P276" s="3"/>
      <c r="Q276" s="3"/>
      <c r="R276" s="3"/>
      <c r="S276" s="3"/>
      <c r="T276" s="3"/>
      <c r="U276" s="3"/>
      <c r="V276" s="3"/>
      <c r="W276" s="3"/>
    </row>
    <row r="277" ht="15.75" customHeight="1">
      <c r="A277" s="84"/>
    </row>
    <row r="278" ht="15.75" customHeight="1">
      <c r="A278" s="84"/>
    </row>
    <row r="279" ht="15.75" customHeight="1">
      <c r="A279" s="84"/>
    </row>
    <row r="280" ht="15.75" customHeight="1">
      <c r="A280" s="84"/>
    </row>
    <row r="281" ht="15.75" customHeight="1">
      <c r="A281" s="84"/>
    </row>
    <row r="282" ht="15.75" customHeight="1">
      <c r="A282" s="84"/>
    </row>
    <row r="283" ht="15.75" customHeight="1">
      <c r="A283" s="84"/>
    </row>
    <row r="284" ht="15.75" customHeight="1">
      <c r="A284" s="84"/>
    </row>
    <row r="285" ht="15.75" customHeight="1">
      <c r="A285" s="84"/>
    </row>
    <row r="286" ht="15.75" customHeight="1">
      <c r="A286" s="84"/>
    </row>
    <row r="287" ht="15.75" customHeight="1">
      <c r="A287" s="84"/>
    </row>
    <row r="288" ht="15.75" customHeight="1">
      <c r="A288" s="84"/>
    </row>
    <row r="289" ht="15.75" customHeight="1">
      <c r="A289" s="84"/>
    </row>
    <row r="290" ht="15.75" customHeight="1">
      <c r="A290" s="84"/>
    </row>
    <row r="291" ht="15.75" customHeight="1">
      <c r="A291" s="84"/>
    </row>
    <row r="292" ht="15.75" customHeight="1">
      <c r="A292" s="84"/>
    </row>
    <row r="293" ht="15.75" customHeight="1">
      <c r="A293" s="84"/>
    </row>
    <row r="294" ht="15.75" customHeight="1">
      <c r="A294" s="84"/>
    </row>
    <row r="295" ht="15.75" customHeight="1">
      <c r="A295" s="84"/>
    </row>
    <row r="296" ht="15.75" customHeight="1">
      <c r="A296" s="84"/>
    </row>
    <row r="297" ht="15.75" customHeight="1">
      <c r="A297" s="84"/>
    </row>
    <row r="298" ht="15.75" customHeight="1">
      <c r="A298" s="84"/>
    </row>
    <row r="299" ht="15.75" customHeight="1">
      <c r="A299" s="84"/>
    </row>
    <row r="300" ht="15.75" customHeight="1">
      <c r="A300" s="84"/>
    </row>
    <row r="301" ht="15.75" customHeight="1">
      <c r="A301" s="84"/>
    </row>
    <row r="302" ht="15.75" customHeight="1">
      <c r="A302" s="84"/>
    </row>
    <row r="303" ht="15.75" customHeight="1">
      <c r="A303" s="84"/>
    </row>
    <row r="304" ht="15.75" customHeight="1">
      <c r="A304" s="84"/>
    </row>
    <row r="305" ht="15.75" customHeight="1">
      <c r="A305" s="84"/>
    </row>
    <row r="306" ht="15.75" customHeight="1">
      <c r="A306" s="84"/>
    </row>
    <row r="307" ht="15.75" customHeight="1">
      <c r="A307" s="84"/>
    </row>
    <row r="308" ht="15.75" customHeight="1">
      <c r="A308" s="84"/>
    </row>
    <row r="309" ht="15.75" customHeight="1">
      <c r="A309" s="84"/>
    </row>
    <row r="310" ht="15.75" customHeight="1">
      <c r="A310" s="84"/>
    </row>
    <row r="311" ht="15.75" customHeight="1">
      <c r="A311" s="84"/>
    </row>
    <row r="312" ht="15.75" customHeight="1">
      <c r="A312" s="84"/>
    </row>
    <row r="313" ht="15.75" customHeight="1">
      <c r="A313" s="84"/>
    </row>
    <row r="314" ht="15.75" customHeight="1">
      <c r="A314" s="84"/>
    </row>
    <row r="315" ht="15.75" customHeight="1">
      <c r="A315" s="84"/>
    </row>
    <row r="316" ht="15.75" customHeight="1">
      <c r="A316" s="84"/>
    </row>
    <row r="317" ht="15.75" customHeight="1">
      <c r="A317" s="84"/>
    </row>
    <row r="318" ht="15.75" customHeight="1">
      <c r="A318" s="84"/>
    </row>
    <row r="319" ht="15.75" customHeight="1">
      <c r="A319" s="84"/>
    </row>
    <row r="320" ht="15.75" customHeight="1">
      <c r="A320" s="84"/>
    </row>
    <row r="321" ht="15.75" customHeight="1">
      <c r="A321" s="84"/>
    </row>
    <row r="322" ht="15.75" customHeight="1">
      <c r="A322" s="84"/>
    </row>
    <row r="323" ht="15.75" customHeight="1">
      <c r="A323" s="84"/>
    </row>
    <row r="324" ht="15.75" customHeight="1">
      <c r="A324" s="84"/>
    </row>
    <row r="325" ht="15.75" customHeight="1">
      <c r="A325" s="84"/>
    </row>
    <row r="326" ht="15.75" customHeight="1">
      <c r="A326" s="84"/>
    </row>
    <row r="327" ht="15.75" customHeight="1">
      <c r="A327" s="84"/>
    </row>
    <row r="328" ht="15.75" customHeight="1">
      <c r="A328" s="84"/>
    </row>
    <row r="329" ht="15.75" customHeight="1">
      <c r="A329" s="84"/>
    </row>
    <row r="330" ht="15.75" customHeight="1">
      <c r="A330" s="84"/>
    </row>
    <row r="331" ht="15.75" customHeight="1">
      <c r="A331" s="84"/>
    </row>
    <row r="332" ht="15.75" customHeight="1">
      <c r="A332" s="84"/>
    </row>
    <row r="333" ht="15.75" customHeight="1">
      <c r="A333" s="84"/>
    </row>
    <row r="334" ht="15.75" customHeight="1">
      <c r="A334" s="84"/>
    </row>
    <row r="335" ht="15.75" customHeight="1">
      <c r="A335" s="84"/>
    </row>
    <row r="336" ht="15.75" customHeight="1">
      <c r="A336" s="84"/>
    </row>
    <row r="337" ht="15.75" customHeight="1">
      <c r="A337" s="84"/>
    </row>
    <row r="338" ht="15.75" customHeight="1">
      <c r="A338" s="84"/>
    </row>
    <row r="339" ht="15.75" customHeight="1">
      <c r="A339" s="84"/>
    </row>
    <row r="340" ht="15.75" customHeight="1">
      <c r="A340" s="84"/>
    </row>
    <row r="341" ht="15.75" customHeight="1">
      <c r="A341" s="84"/>
    </row>
    <row r="342" ht="15.75" customHeight="1">
      <c r="A342" s="84"/>
    </row>
    <row r="343" ht="15.75" customHeight="1">
      <c r="A343" s="84"/>
    </row>
    <row r="344" ht="15.75" customHeight="1">
      <c r="A344" s="84"/>
    </row>
    <row r="345" ht="15.75" customHeight="1">
      <c r="A345" s="84"/>
    </row>
    <row r="346" ht="15.75" customHeight="1">
      <c r="A346" s="84"/>
    </row>
    <row r="347" ht="15.75" customHeight="1">
      <c r="A347" s="84"/>
    </row>
    <row r="348" ht="15.75" customHeight="1">
      <c r="A348" s="84"/>
    </row>
    <row r="349" ht="15.75" customHeight="1">
      <c r="A349" s="84"/>
    </row>
    <row r="350" ht="15.75" customHeight="1">
      <c r="A350" s="84"/>
    </row>
    <row r="351" ht="15.75" customHeight="1">
      <c r="A351" s="84"/>
    </row>
    <row r="352" ht="15.75" customHeight="1">
      <c r="A352" s="84"/>
    </row>
    <row r="353" ht="15.75" customHeight="1">
      <c r="A353" s="84"/>
    </row>
    <row r="354" ht="15.75" customHeight="1">
      <c r="A354" s="84"/>
    </row>
    <row r="355" ht="15.75" customHeight="1">
      <c r="A355" s="84"/>
    </row>
    <row r="356" ht="15.75" customHeight="1">
      <c r="A356" s="84"/>
    </row>
    <row r="357" ht="15.75" customHeight="1">
      <c r="A357" s="84"/>
    </row>
    <row r="358" ht="15.75" customHeight="1">
      <c r="A358" s="84"/>
    </row>
    <row r="359" ht="15.75" customHeight="1">
      <c r="A359" s="84"/>
    </row>
    <row r="360" ht="15.75" customHeight="1">
      <c r="A360" s="84"/>
    </row>
    <row r="361" ht="15.75" customHeight="1">
      <c r="A361" s="84"/>
    </row>
    <row r="362" ht="15.75" customHeight="1">
      <c r="A362" s="84"/>
    </row>
    <row r="363" ht="15.75" customHeight="1">
      <c r="A363" s="84"/>
    </row>
    <row r="364" ht="15.75" customHeight="1">
      <c r="A364" s="84"/>
    </row>
    <row r="365" ht="15.75" customHeight="1">
      <c r="A365" s="84"/>
    </row>
    <row r="366" ht="15.75" customHeight="1">
      <c r="A366" s="84"/>
    </row>
    <row r="367" ht="15.75" customHeight="1">
      <c r="A367" s="84"/>
    </row>
    <row r="368" ht="15.75" customHeight="1">
      <c r="A368" s="84"/>
    </row>
    <row r="369" ht="15.75" customHeight="1">
      <c r="A369" s="84"/>
    </row>
    <row r="370" ht="15.75" customHeight="1">
      <c r="A370" s="84"/>
    </row>
    <row r="371" ht="15.75" customHeight="1">
      <c r="A371" s="84"/>
    </row>
    <row r="372" ht="15.75" customHeight="1">
      <c r="A372" s="84"/>
    </row>
    <row r="373" ht="15.75" customHeight="1">
      <c r="A373" s="84"/>
    </row>
    <row r="374" ht="15.75" customHeight="1">
      <c r="A374" s="84"/>
    </row>
    <row r="375" ht="15.75" customHeight="1">
      <c r="A375" s="84"/>
    </row>
    <row r="376" ht="15.75" customHeight="1">
      <c r="A376" s="84"/>
    </row>
    <row r="377" ht="15.75" customHeight="1">
      <c r="A377" s="84"/>
    </row>
    <row r="378" ht="15.75" customHeight="1">
      <c r="A378" s="84"/>
    </row>
    <row r="379" ht="15.75" customHeight="1">
      <c r="A379" s="84"/>
    </row>
    <row r="380" ht="15.75" customHeight="1">
      <c r="A380" s="84"/>
    </row>
    <row r="381" ht="15.75" customHeight="1">
      <c r="A381" s="84"/>
    </row>
    <row r="382" ht="15.75" customHeight="1">
      <c r="A382" s="84"/>
    </row>
    <row r="383" ht="15.75" customHeight="1">
      <c r="A383" s="84"/>
    </row>
    <row r="384" ht="15.75" customHeight="1">
      <c r="A384" s="84"/>
    </row>
    <row r="385" ht="15.75" customHeight="1">
      <c r="A385" s="84"/>
    </row>
    <row r="386" ht="15.75" customHeight="1">
      <c r="A386" s="84"/>
    </row>
    <row r="387" ht="15.75" customHeight="1">
      <c r="A387" s="84"/>
    </row>
    <row r="388" ht="15.75" customHeight="1">
      <c r="A388" s="84"/>
    </row>
    <row r="389" ht="15.75" customHeight="1">
      <c r="A389" s="84"/>
    </row>
    <row r="390" ht="15.75" customHeight="1">
      <c r="A390" s="84"/>
    </row>
    <row r="391" ht="15.75" customHeight="1">
      <c r="A391" s="84"/>
    </row>
    <row r="392" ht="15.75" customHeight="1">
      <c r="A392" s="84"/>
    </row>
    <row r="393" ht="15.75" customHeight="1">
      <c r="A393" s="84"/>
    </row>
    <row r="394" ht="15.75" customHeight="1">
      <c r="A394" s="84"/>
    </row>
    <row r="395" ht="15.75" customHeight="1">
      <c r="A395" s="84"/>
    </row>
    <row r="396" ht="15.75" customHeight="1">
      <c r="A396" s="84"/>
    </row>
    <row r="397" ht="15.75" customHeight="1">
      <c r="A397" s="84"/>
    </row>
    <row r="398" ht="15.75" customHeight="1">
      <c r="A398" s="84"/>
    </row>
    <row r="399" ht="15.75" customHeight="1">
      <c r="A399" s="84"/>
    </row>
    <row r="400" ht="15.75" customHeight="1">
      <c r="A400" s="84"/>
    </row>
    <row r="401" ht="15.75" customHeight="1">
      <c r="A401" s="84"/>
    </row>
    <row r="402" ht="15.75" customHeight="1">
      <c r="A402" s="84"/>
    </row>
    <row r="403" ht="15.75" customHeight="1">
      <c r="A403" s="84"/>
    </row>
    <row r="404" ht="15.75" customHeight="1">
      <c r="A404" s="84"/>
    </row>
    <row r="405" ht="15.75" customHeight="1">
      <c r="A405" s="84"/>
    </row>
    <row r="406" ht="15.75" customHeight="1">
      <c r="A406" s="84"/>
    </row>
    <row r="407" ht="15.75" customHeight="1">
      <c r="A407" s="84"/>
    </row>
    <row r="408" ht="15.75" customHeight="1">
      <c r="A408" s="84"/>
    </row>
    <row r="409" ht="15.75" customHeight="1">
      <c r="A409" s="84"/>
    </row>
    <row r="410" ht="15.75" customHeight="1">
      <c r="A410" s="84"/>
    </row>
    <row r="411" ht="15.75" customHeight="1">
      <c r="A411" s="84"/>
    </row>
    <row r="412" ht="15.75" customHeight="1">
      <c r="A412" s="84"/>
    </row>
    <row r="413" ht="15.75" customHeight="1">
      <c r="A413" s="84"/>
    </row>
    <row r="414" ht="15.75" customHeight="1">
      <c r="A414" s="84"/>
    </row>
    <row r="415" ht="15.75" customHeight="1">
      <c r="A415" s="84"/>
    </row>
    <row r="416" ht="15.75" customHeight="1">
      <c r="A416" s="84"/>
    </row>
    <row r="417" ht="15.75" customHeight="1">
      <c r="A417" s="84"/>
    </row>
    <row r="418" ht="15.75" customHeight="1">
      <c r="A418" s="84"/>
    </row>
    <row r="419" ht="15.75" customHeight="1">
      <c r="A419" s="84"/>
    </row>
    <row r="420" ht="15.75" customHeight="1">
      <c r="A420" s="84"/>
    </row>
    <row r="421" ht="15.75" customHeight="1">
      <c r="A421" s="84"/>
    </row>
    <row r="422" ht="15.75" customHeight="1">
      <c r="A422" s="84"/>
    </row>
    <row r="423" ht="15.75" customHeight="1">
      <c r="A423" s="84"/>
    </row>
    <row r="424" ht="15.75" customHeight="1">
      <c r="A424" s="84"/>
    </row>
    <row r="425" ht="15.75" customHeight="1">
      <c r="A425" s="84"/>
    </row>
    <row r="426" ht="15.75" customHeight="1">
      <c r="A426" s="84"/>
    </row>
    <row r="427" ht="15.75" customHeight="1">
      <c r="A427" s="84"/>
    </row>
    <row r="428" ht="15.75" customHeight="1">
      <c r="A428" s="84"/>
    </row>
    <row r="429" ht="15.75" customHeight="1">
      <c r="A429" s="84"/>
    </row>
    <row r="430" ht="15.75" customHeight="1">
      <c r="A430" s="84"/>
    </row>
    <row r="431" ht="15.75" customHeight="1">
      <c r="A431" s="84"/>
    </row>
    <row r="432" ht="15.75" customHeight="1">
      <c r="A432" s="84"/>
    </row>
    <row r="433" ht="15.75" customHeight="1">
      <c r="A433" s="84"/>
    </row>
    <row r="434" ht="15.75" customHeight="1">
      <c r="A434" s="84"/>
    </row>
    <row r="435" ht="15.75" customHeight="1">
      <c r="A435" s="84"/>
    </row>
    <row r="436" ht="15.75" customHeight="1">
      <c r="A436" s="84"/>
    </row>
    <row r="437" ht="15.75" customHeight="1">
      <c r="A437" s="84"/>
    </row>
    <row r="438" ht="15.75" customHeight="1">
      <c r="A438" s="84"/>
    </row>
    <row r="439" ht="15.75" customHeight="1">
      <c r="A439" s="84"/>
    </row>
    <row r="440" ht="15.75" customHeight="1">
      <c r="A440" s="84"/>
    </row>
    <row r="441" ht="15.75" customHeight="1">
      <c r="A441" s="84"/>
    </row>
    <row r="442" ht="15.75" customHeight="1">
      <c r="A442" s="84"/>
    </row>
    <row r="443" ht="15.75" customHeight="1">
      <c r="A443" s="84"/>
    </row>
    <row r="444" ht="15.75" customHeight="1">
      <c r="A444" s="84"/>
    </row>
    <row r="445" ht="15.75" customHeight="1">
      <c r="A445" s="84"/>
    </row>
    <row r="446" ht="15.75" customHeight="1">
      <c r="A446" s="84"/>
    </row>
    <row r="447" ht="15.75" customHeight="1">
      <c r="A447" s="84"/>
    </row>
    <row r="448" ht="15.75" customHeight="1">
      <c r="A448" s="84"/>
    </row>
    <row r="449" ht="15.75" customHeight="1">
      <c r="A449" s="84"/>
    </row>
    <row r="450" ht="15.75" customHeight="1">
      <c r="A450" s="84"/>
    </row>
    <row r="451" ht="15.75" customHeight="1">
      <c r="A451" s="84"/>
    </row>
    <row r="452" ht="15.75" customHeight="1">
      <c r="A452" s="84"/>
    </row>
    <row r="453" ht="15.75" customHeight="1">
      <c r="A453" s="84"/>
    </row>
    <row r="454" ht="15.75" customHeight="1">
      <c r="A454" s="84"/>
    </row>
    <row r="455" ht="15.75" customHeight="1">
      <c r="A455" s="84"/>
    </row>
    <row r="456" ht="15.75" customHeight="1">
      <c r="A456" s="84"/>
    </row>
    <row r="457" ht="15.75" customHeight="1">
      <c r="A457" s="84"/>
    </row>
    <row r="458" ht="15.75" customHeight="1">
      <c r="A458" s="84"/>
    </row>
    <row r="459" ht="15.75" customHeight="1">
      <c r="A459" s="84"/>
    </row>
    <row r="460" ht="15.75" customHeight="1">
      <c r="A460" s="84"/>
    </row>
    <row r="461" ht="15.75" customHeight="1">
      <c r="A461" s="84"/>
    </row>
    <row r="462" ht="15.75" customHeight="1">
      <c r="A462" s="84"/>
    </row>
    <row r="463" ht="15.75" customHeight="1">
      <c r="A463" s="84"/>
    </row>
    <row r="464" ht="15.75" customHeight="1">
      <c r="A464" s="84"/>
    </row>
    <row r="465" ht="15.75" customHeight="1">
      <c r="A465" s="84"/>
    </row>
    <row r="466" ht="15.75" customHeight="1">
      <c r="A466" s="84"/>
    </row>
    <row r="467" ht="15.75" customHeight="1">
      <c r="A467" s="84"/>
    </row>
    <row r="468" ht="15.75" customHeight="1">
      <c r="A468" s="84"/>
    </row>
    <row r="469" ht="15.75" customHeight="1">
      <c r="A469" s="84"/>
    </row>
    <row r="470" ht="15.75" customHeight="1">
      <c r="A470" s="84"/>
    </row>
    <row r="471" ht="15.75" customHeight="1">
      <c r="A471" s="84"/>
    </row>
    <row r="472" ht="15.75" customHeight="1">
      <c r="A472" s="84"/>
    </row>
    <row r="473" ht="15.75" customHeight="1">
      <c r="A473" s="84"/>
    </row>
    <row r="474" ht="15.75" customHeight="1">
      <c r="A474" s="84"/>
    </row>
    <row r="475" ht="15.75" customHeight="1">
      <c r="A475" s="84"/>
    </row>
    <row r="476" ht="15.75" customHeight="1">
      <c r="A476" s="84"/>
    </row>
    <row r="477" ht="15.75" customHeight="1">
      <c r="A477" s="84"/>
    </row>
    <row r="478" ht="15.75" customHeight="1">
      <c r="A478" s="84"/>
    </row>
    <row r="479" ht="15.75" customHeight="1">
      <c r="A479" s="84"/>
    </row>
    <row r="480" ht="15.75" customHeight="1">
      <c r="A480" s="84"/>
    </row>
    <row r="481" ht="15.75" customHeight="1">
      <c r="A481" s="84"/>
    </row>
    <row r="482" ht="15.75" customHeight="1">
      <c r="A482" s="84"/>
    </row>
    <row r="483" ht="15.75" customHeight="1">
      <c r="A483" s="84"/>
    </row>
    <row r="484" ht="15.75" customHeight="1">
      <c r="A484" s="84"/>
    </row>
    <row r="485" ht="15.75" customHeight="1">
      <c r="A485" s="84"/>
    </row>
    <row r="486" ht="15.75" customHeight="1">
      <c r="A486" s="84"/>
    </row>
    <row r="487" ht="15.75" customHeight="1">
      <c r="A487" s="84"/>
    </row>
    <row r="488" ht="15.75" customHeight="1">
      <c r="A488" s="84"/>
    </row>
    <row r="489" ht="15.75" customHeight="1">
      <c r="A489" s="84"/>
    </row>
    <row r="490" ht="15.75" customHeight="1">
      <c r="A490" s="84"/>
    </row>
    <row r="491" ht="15.75" customHeight="1">
      <c r="A491" s="84"/>
    </row>
    <row r="492" ht="15.75" customHeight="1">
      <c r="A492" s="84"/>
    </row>
    <row r="493" ht="15.75" customHeight="1">
      <c r="A493" s="84"/>
    </row>
    <row r="494" ht="15.75" customHeight="1">
      <c r="A494" s="84"/>
    </row>
    <row r="495" ht="15.75" customHeight="1">
      <c r="A495" s="84"/>
    </row>
    <row r="496" ht="15.75" customHeight="1">
      <c r="A496" s="84"/>
    </row>
    <row r="497" ht="15.75" customHeight="1">
      <c r="A497" s="84"/>
    </row>
    <row r="498" ht="15.75" customHeight="1">
      <c r="A498" s="84"/>
    </row>
    <row r="499" ht="15.75" customHeight="1">
      <c r="A499" s="84"/>
    </row>
    <row r="500" ht="15.75" customHeight="1">
      <c r="A500" s="84"/>
    </row>
    <row r="501" ht="15.75" customHeight="1">
      <c r="A501" s="84"/>
    </row>
    <row r="502" ht="15.75" customHeight="1">
      <c r="A502" s="84"/>
    </row>
    <row r="503" ht="15.75" customHeight="1">
      <c r="A503" s="84"/>
    </row>
    <row r="504" ht="15.75" customHeight="1">
      <c r="A504" s="84"/>
    </row>
    <row r="505" ht="15.75" customHeight="1">
      <c r="A505" s="84"/>
    </row>
    <row r="506" ht="15.75" customHeight="1">
      <c r="A506" s="84"/>
    </row>
    <row r="507" ht="15.75" customHeight="1">
      <c r="A507" s="84"/>
    </row>
    <row r="508" ht="15.75" customHeight="1">
      <c r="A508" s="84"/>
    </row>
    <row r="509" ht="15.75" customHeight="1">
      <c r="A509" s="84"/>
    </row>
    <row r="510" ht="15.75" customHeight="1">
      <c r="A510" s="84"/>
    </row>
    <row r="511" ht="15.75" customHeight="1">
      <c r="A511" s="84"/>
    </row>
    <row r="512" ht="15.75" customHeight="1">
      <c r="A512" s="84"/>
    </row>
    <row r="513" ht="15.75" customHeight="1">
      <c r="A513" s="84"/>
    </row>
    <row r="514" ht="15.75" customHeight="1">
      <c r="A514" s="84"/>
    </row>
    <row r="515" ht="15.75" customHeight="1">
      <c r="A515" s="84"/>
    </row>
    <row r="516" ht="15.75" customHeight="1">
      <c r="A516" s="84"/>
    </row>
    <row r="517" ht="15.75" customHeight="1">
      <c r="A517" s="84"/>
    </row>
    <row r="518" ht="15.75" customHeight="1">
      <c r="A518" s="84"/>
    </row>
    <row r="519" ht="15.75" customHeight="1">
      <c r="A519" s="84"/>
    </row>
    <row r="520" ht="15.75" customHeight="1">
      <c r="A520" s="84"/>
    </row>
    <row r="521" ht="15.75" customHeight="1">
      <c r="A521" s="84"/>
    </row>
    <row r="522" ht="15.75" customHeight="1">
      <c r="A522" s="84"/>
    </row>
    <row r="523" ht="15.75" customHeight="1">
      <c r="A523" s="84"/>
    </row>
    <row r="524" ht="15.75" customHeight="1">
      <c r="A524" s="84"/>
    </row>
    <row r="525" ht="15.75" customHeight="1">
      <c r="A525" s="84"/>
    </row>
    <row r="526" ht="15.75" customHeight="1">
      <c r="A526" s="84"/>
    </row>
    <row r="527" ht="15.75" customHeight="1">
      <c r="A527" s="84"/>
    </row>
    <row r="528" ht="15.75" customHeight="1">
      <c r="A528" s="84"/>
    </row>
    <row r="529" ht="15.75" customHeight="1">
      <c r="A529" s="84"/>
    </row>
    <row r="530" ht="15.75" customHeight="1">
      <c r="A530" s="84"/>
    </row>
    <row r="531" ht="15.75" customHeight="1">
      <c r="A531" s="84"/>
    </row>
    <row r="532" ht="15.75" customHeight="1">
      <c r="A532" s="84"/>
    </row>
    <row r="533" ht="15.75" customHeight="1">
      <c r="A533" s="84"/>
    </row>
    <row r="534" ht="15.75" customHeight="1">
      <c r="A534" s="84"/>
    </row>
    <row r="535" ht="15.75" customHeight="1">
      <c r="A535" s="84"/>
    </row>
    <row r="536" ht="15.75" customHeight="1">
      <c r="A536" s="84"/>
    </row>
    <row r="537" ht="15.75" customHeight="1">
      <c r="A537" s="84"/>
    </row>
    <row r="538" ht="15.75" customHeight="1">
      <c r="A538" s="84"/>
    </row>
    <row r="539" ht="15.75" customHeight="1">
      <c r="A539" s="84"/>
    </row>
    <row r="540" ht="15.75" customHeight="1">
      <c r="A540" s="84"/>
    </row>
    <row r="541" ht="15.75" customHeight="1">
      <c r="A541" s="84"/>
    </row>
    <row r="542" ht="15.75" customHeight="1">
      <c r="A542" s="84"/>
    </row>
    <row r="543" ht="15.75" customHeight="1">
      <c r="A543" s="84"/>
    </row>
    <row r="544" ht="15.75" customHeight="1">
      <c r="A544" s="84"/>
    </row>
    <row r="545" ht="15.75" customHeight="1">
      <c r="A545" s="84"/>
    </row>
    <row r="546" ht="15.75" customHeight="1">
      <c r="A546" s="84"/>
    </row>
    <row r="547" ht="15.75" customHeight="1">
      <c r="A547" s="84"/>
    </row>
    <row r="548" ht="15.75" customHeight="1">
      <c r="A548" s="84"/>
    </row>
    <row r="549" ht="15.75" customHeight="1">
      <c r="A549" s="84"/>
    </row>
    <row r="550" ht="15.75" customHeight="1">
      <c r="A550" s="84"/>
    </row>
    <row r="551" ht="15.75" customHeight="1">
      <c r="A551" s="84"/>
    </row>
    <row r="552" ht="15.75" customHeight="1">
      <c r="A552" s="84"/>
    </row>
    <row r="553" ht="15.75" customHeight="1">
      <c r="A553" s="84"/>
    </row>
    <row r="554" ht="15.75" customHeight="1">
      <c r="A554" s="84"/>
    </row>
    <row r="555" ht="15.75" customHeight="1">
      <c r="A555" s="84"/>
    </row>
    <row r="556" ht="15.75" customHeight="1">
      <c r="A556" s="84"/>
    </row>
    <row r="557" ht="15.75" customHeight="1">
      <c r="A557" s="84"/>
    </row>
    <row r="558" ht="15.75" customHeight="1">
      <c r="A558" s="84"/>
    </row>
    <row r="559" ht="15.75" customHeight="1">
      <c r="A559" s="84"/>
    </row>
    <row r="560" ht="15.75" customHeight="1">
      <c r="A560" s="84"/>
    </row>
    <row r="561" ht="15.75" customHeight="1">
      <c r="A561" s="84"/>
    </row>
    <row r="562" ht="15.75" customHeight="1">
      <c r="A562" s="84"/>
    </row>
    <row r="563" ht="15.75" customHeight="1">
      <c r="A563" s="84"/>
    </row>
    <row r="564" ht="15.75" customHeight="1">
      <c r="A564" s="84"/>
    </row>
    <row r="565" ht="15.75" customHeight="1">
      <c r="A565" s="84"/>
    </row>
    <row r="566" ht="15.75" customHeight="1">
      <c r="A566" s="84"/>
    </row>
    <row r="567" ht="15.75" customHeight="1">
      <c r="A567" s="84"/>
    </row>
    <row r="568" ht="15.75" customHeight="1">
      <c r="A568" s="84"/>
    </row>
    <row r="569" ht="15.75" customHeight="1">
      <c r="A569" s="84"/>
    </row>
    <row r="570" ht="15.75" customHeight="1">
      <c r="A570" s="84"/>
    </row>
    <row r="571" ht="15.75" customHeight="1">
      <c r="A571" s="84"/>
    </row>
    <row r="572" ht="15.75" customHeight="1">
      <c r="A572" s="84"/>
    </row>
    <row r="573" ht="15.75" customHeight="1">
      <c r="A573" s="84"/>
    </row>
    <row r="574" ht="15.75" customHeight="1">
      <c r="A574" s="84"/>
    </row>
    <row r="575" ht="15.75" customHeight="1">
      <c r="A575" s="84"/>
    </row>
    <row r="576" ht="15.75" customHeight="1">
      <c r="A576" s="84"/>
    </row>
    <row r="577" ht="15.75" customHeight="1">
      <c r="A577" s="84"/>
    </row>
    <row r="578" ht="15.75" customHeight="1">
      <c r="A578" s="84"/>
    </row>
    <row r="579" ht="15.75" customHeight="1">
      <c r="A579" s="84"/>
    </row>
    <row r="580" ht="15.75" customHeight="1">
      <c r="A580" s="84"/>
    </row>
    <row r="581" ht="15.75" customHeight="1">
      <c r="A581" s="84"/>
    </row>
    <row r="582" ht="15.75" customHeight="1">
      <c r="A582" s="84"/>
    </row>
    <row r="583" ht="15.75" customHeight="1">
      <c r="A583" s="84"/>
    </row>
    <row r="584" ht="15.75" customHeight="1">
      <c r="A584" s="84"/>
    </row>
    <row r="585" ht="15.75" customHeight="1">
      <c r="A585" s="84"/>
    </row>
    <row r="586" ht="15.75" customHeight="1">
      <c r="A586" s="84"/>
    </row>
    <row r="587" ht="15.75" customHeight="1">
      <c r="A587" s="84"/>
    </row>
    <row r="588" ht="15.75" customHeight="1">
      <c r="A588" s="84"/>
    </row>
    <row r="589" ht="15.75" customHeight="1">
      <c r="A589" s="84"/>
    </row>
    <row r="590" ht="15.75" customHeight="1">
      <c r="A590" s="84"/>
    </row>
    <row r="591" ht="15.75" customHeight="1">
      <c r="A591" s="84"/>
    </row>
    <row r="592" ht="15.75" customHeight="1">
      <c r="A592" s="84"/>
    </row>
    <row r="593" ht="15.75" customHeight="1">
      <c r="A593" s="84"/>
    </row>
    <row r="594" ht="15.75" customHeight="1">
      <c r="A594" s="84"/>
    </row>
    <row r="595" ht="15.75" customHeight="1">
      <c r="A595" s="84"/>
    </row>
    <row r="596" ht="15.75" customHeight="1">
      <c r="A596" s="84"/>
    </row>
    <row r="597" ht="15.75" customHeight="1">
      <c r="A597" s="84"/>
    </row>
    <row r="598" ht="15.75" customHeight="1">
      <c r="A598" s="84"/>
    </row>
    <row r="599" ht="15.75" customHeight="1">
      <c r="A599" s="84"/>
    </row>
    <row r="600" ht="15.75" customHeight="1">
      <c r="A600" s="84"/>
    </row>
    <row r="601" ht="15.75" customHeight="1">
      <c r="A601" s="84"/>
    </row>
    <row r="602" ht="15.75" customHeight="1">
      <c r="A602" s="84"/>
    </row>
    <row r="603" ht="15.75" customHeight="1">
      <c r="A603" s="84"/>
    </row>
    <row r="604" ht="15.75" customHeight="1">
      <c r="A604" s="84"/>
    </row>
    <row r="605" ht="15.75" customHeight="1">
      <c r="A605" s="84"/>
    </row>
    <row r="606" ht="15.75" customHeight="1">
      <c r="A606" s="84"/>
    </row>
    <row r="607" ht="15.75" customHeight="1">
      <c r="A607" s="84"/>
    </row>
    <row r="608" ht="15.75" customHeight="1">
      <c r="A608" s="84"/>
    </row>
    <row r="609" ht="15.75" customHeight="1">
      <c r="A609" s="84"/>
    </row>
    <row r="610" ht="15.75" customHeight="1">
      <c r="A610" s="84"/>
    </row>
    <row r="611" ht="15.75" customHeight="1">
      <c r="A611" s="84"/>
    </row>
    <row r="612" ht="15.75" customHeight="1">
      <c r="A612" s="84"/>
    </row>
    <row r="613" ht="15.75" customHeight="1">
      <c r="A613" s="84"/>
    </row>
    <row r="614" ht="15.75" customHeight="1">
      <c r="A614" s="84"/>
    </row>
    <row r="615" ht="15.75" customHeight="1">
      <c r="A615" s="84"/>
    </row>
    <row r="616" ht="15.75" customHeight="1">
      <c r="A616" s="84"/>
    </row>
    <row r="617" ht="15.75" customHeight="1">
      <c r="A617" s="84"/>
    </row>
    <row r="618" ht="15.75" customHeight="1">
      <c r="A618" s="84"/>
    </row>
    <row r="619" ht="15.75" customHeight="1">
      <c r="A619" s="84"/>
    </row>
    <row r="620" ht="15.75" customHeight="1">
      <c r="A620" s="84"/>
    </row>
    <row r="621" ht="15.75" customHeight="1">
      <c r="A621" s="84"/>
    </row>
    <row r="622" ht="15.75" customHeight="1">
      <c r="A622" s="84"/>
    </row>
    <row r="623" ht="15.75" customHeight="1">
      <c r="A623" s="84"/>
    </row>
    <row r="624" ht="15.75" customHeight="1">
      <c r="A624" s="84"/>
    </row>
    <row r="625" ht="15.75" customHeight="1">
      <c r="A625" s="84"/>
    </row>
    <row r="626" ht="15.75" customHeight="1">
      <c r="A626" s="84"/>
    </row>
    <row r="627" ht="15.75" customHeight="1">
      <c r="A627" s="84"/>
    </row>
    <row r="628" ht="15.75" customHeight="1">
      <c r="A628" s="84"/>
    </row>
    <row r="629" ht="15.75" customHeight="1">
      <c r="A629" s="84"/>
    </row>
    <row r="630" ht="15.75" customHeight="1">
      <c r="A630" s="84"/>
    </row>
    <row r="631" ht="15.75" customHeight="1">
      <c r="A631" s="84"/>
    </row>
    <row r="632" ht="15.75" customHeight="1">
      <c r="A632" s="84"/>
    </row>
    <row r="633" ht="15.75" customHeight="1">
      <c r="A633" s="84"/>
    </row>
    <row r="634" ht="15.75" customHeight="1">
      <c r="A634" s="84"/>
    </row>
    <row r="635" ht="15.75" customHeight="1">
      <c r="A635" s="84"/>
    </row>
    <row r="636" ht="15.75" customHeight="1">
      <c r="A636" s="84"/>
    </row>
    <row r="637" ht="15.75" customHeight="1">
      <c r="A637" s="84"/>
    </row>
    <row r="638" ht="15.75" customHeight="1">
      <c r="A638" s="84"/>
    </row>
    <row r="639" ht="15.75" customHeight="1">
      <c r="A639" s="84"/>
    </row>
    <row r="640" ht="15.75" customHeight="1">
      <c r="A640" s="84"/>
    </row>
    <row r="641" ht="15.75" customHeight="1">
      <c r="A641" s="84"/>
    </row>
    <row r="642" ht="15.75" customHeight="1">
      <c r="A642" s="84"/>
    </row>
    <row r="643" ht="15.75" customHeight="1">
      <c r="A643" s="84"/>
    </row>
    <row r="644" ht="15.75" customHeight="1">
      <c r="A644" s="84"/>
    </row>
    <row r="645" ht="15.75" customHeight="1">
      <c r="A645" s="84"/>
    </row>
    <row r="646" ht="15.75" customHeight="1">
      <c r="A646" s="84"/>
    </row>
    <row r="647" ht="15.75" customHeight="1">
      <c r="A647" s="84"/>
    </row>
    <row r="648" ht="15.75" customHeight="1">
      <c r="A648" s="84"/>
    </row>
    <row r="649" ht="15.75" customHeight="1">
      <c r="A649" s="84"/>
    </row>
    <row r="650" ht="15.75" customHeight="1">
      <c r="A650" s="84"/>
    </row>
    <row r="651" ht="15.75" customHeight="1">
      <c r="A651" s="84"/>
    </row>
    <row r="652" ht="15.75" customHeight="1">
      <c r="A652" s="84"/>
    </row>
    <row r="653" ht="15.75" customHeight="1">
      <c r="A653" s="84"/>
    </row>
    <row r="654" ht="15.75" customHeight="1">
      <c r="A654" s="84"/>
    </row>
    <row r="655" ht="15.75" customHeight="1">
      <c r="A655" s="84"/>
    </row>
    <row r="656" ht="15.75" customHeight="1">
      <c r="A656" s="84"/>
    </row>
    <row r="657" ht="15.75" customHeight="1">
      <c r="A657" s="84"/>
    </row>
    <row r="658" ht="15.75" customHeight="1">
      <c r="A658" s="84"/>
    </row>
    <row r="659" ht="15.75" customHeight="1">
      <c r="A659" s="84"/>
    </row>
    <row r="660" ht="15.75" customHeight="1">
      <c r="A660" s="84"/>
    </row>
    <row r="661" ht="15.75" customHeight="1">
      <c r="A661" s="84"/>
    </row>
    <row r="662" ht="15.75" customHeight="1">
      <c r="A662" s="84"/>
    </row>
    <row r="663" ht="15.75" customHeight="1">
      <c r="A663" s="84"/>
    </row>
    <row r="664" ht="15.75" customHeight="1">
      <c r="A664" s="84"/>
    </row>
    <row r="665" ht="15.75" customHeight="1">
      <c r="A665" s="84"/>
    </row>
    <row r="666" ht="15.75" customHeight="1">
      <c r="A666" s="84"/>
    </row>
    <row r="667" ht="15.75" customHeight="1">
      <c r="A667" s="84"/>
    </row>
    <row r="668" ht="15.75" customHeight="1">
      <c r="A668" s="84"/>
    </row>
    <row r="669" ht="15.75" customHeight="1">
      <c r="A669" s="84"/>
    </row>
    <row r="670" ht="15.75" customHeight="1">
      <c r="A670" s="84"/>
    </row>
    <row r="671" ht="15.75" customHeight="1">
      <c r="A671" s="84"/>
    </row>
    <row r="672" ht="15.75" customHeight="1">
      <c r="A672" s="84"/>
    </row>
    <row r="673" ht="15.75" customHeight="1">
      <c r="A673" s="84"/>
    </row>
    <row r="674" ht="15.75" customHeight="1">
      <c r="A674" s="84"/>
    </row>
    <row r="675" ht="15.75" customHeight="1">
      <c r="A675" s="84"/>
    </row>
    <row r="676" ht="15.75" customHeight="1">
      <c r="A676" s="84"/>
    </row>
    <row r="677" ht="15.75" customHeight="1">
      <c r="A677" s="84"/>
    </row>
    <row r="678" ht="15.75" customHeight="1">
      <c r="A678" s="84"/>
    </row>
    <row r="679" ht="15.75" customHeight="1">
      <c r="A679" s="84"/>
    </row>
    <row r="680" ht="15.75" customHeight="1">
      <c r="A680" s="84"/>
    </row>
    <row r="681" ht="15.75" customHeight="1">
      <c r="A681" s="84"/>
    </row>
    <row r="682" ht="15.75" customHeight="1">
      <c r="A682" s="84"/>
    </row>
    <row r="683" ht="15.75" customHeight="1">
      <c r="A683" s="84"/>
    </row>
    <row r="684" ht="15.75" customHeight="1">
      <c r="A684" s="84"/>
    </row>
    <row r="685" ht="15.75" customHeight="1">
      <c r="A685" s="84"/>
    </row>
    <row r="686" ht="15.75" customHeight="1">
      <c r="A686" s="84"/>
    </row>
    <row r="687" ht="15.75" customHeight="1">
      <c r="A687" s="84"/>
    </row>
    <row r="688" ht="15.75" customHeight="1">
      <c r="A688" s="84"/>
    </row>
    <row r="689" ht="15.75" customHeight="1">
      <c r="A689" s="84"/>
    </row>
    <row r="690" ht="15.75" customHeight="1">
      <c r="A690" s="84"/>
    </row>
    <row r="691" ht="15.75" customHeight="1">
      <c r="A691" s="84"/>
    </row>
    <row r="692" ht="15.75" customHeight="1">
      <c r="A692" s="84"/>
    </row>
    <row r="693" ht="15.75" customHeight="1">
      <c r="A693" s="84"/>
    </row>
    <row r="694" ht="15.75" customHeight="1">
      <c r="A694" s="84"/>
    </row>
    <row r="695" ht="15.75" customHeight="1">
      <c r="A695" s="84"/>
    </row>
    <row r="696" ht="15.75" customHeight="1">
      <c r="A696" s="84"/>
    </row>
    <row r="697" ht="15.75" customHeight="1">
      <c r="A697" s="84"/>
    </row>
    <row r="698" ht="15.75" customHeight="1">
      <c r="A698" s="84"/>
    </row>
    <row r="699" ht="15.75" customHeight="1">
      <c r="A699" s="84"/>
    </row>
    <row r="700" ht="15.75" customHeight="1">
      <c r="A700" s="84"/>
    </row>
    <row r="701" ht="15.75" customHeight="1">
      <c r="A701" s="84"/>
    </row>
    <row r="702" ht="15.75" customHeight="1">
      <c r="A702" s="84"/>
    </row>
    <row r="703" ht="15.75" customHeight="1">
      <c r="A703" s="84"/>
    </row>
    <row r="704" ht="15.75" customHeight="1">
      <c r="A704" s="84"/>
    </row>
    <row r="705" ht="15.75" customHeight="1">
      <c r="A705" s="84"/>
    </row>
    <row r="706" ht="15.75" customHeight="1">
      <c r="A706" s="84"/>
    </row>
    <row r="707" ht="15.75" customHeight="1">
      <c r="A707" s="84"/>
    </row>
    <row r="708" ht="15.75" customHeight="1">
      <c r="A708" s="84"/>
    </row>
    <row r="709" ht="15.75" customHeight="1">
      <c r="A709" s="84"/>
    </row>
    <row r="710" ht="15.75" customHeight="1">
      <c r="A710" s="84"/>
    </row>
    <row r="711" ht="15.75" customHeight="1">
      <c r="A711" s="84"/>
    </row>
    <row r="712" ht="15.75" customHeight="1">
      <c r="A712" s="84"/>
    </row>
    <row r="713" ht="15.75" customHeight="1">
      <c r="A713" s="84"/>
    </row>
    <row r="714" ht="15.75" customHeight="1">
      <c r="A714" s="84"/>
    </row>
    <row r="715" ht="15.75" customHeight="1">
      <c r="A715" s="84"/>
    </row>
    <row r="716" ht="15.75" customHeight="1">
      <c r="A716" s="84"/>
    </row>
    <row r="717" ht="15.75" customHeight="1">
      <c r="A717" s="84"/>
    </row>
    <row r="718" ht="15.75" customHeight="1">
      <c r="A718" s="84"/>
    </row>
    <row r="719" ht="15.75" customHeight="1">
      <c r="A719" s="84"/>
    </row>
    <row r="720" ht="15.75" customHeight="1">
      <c r="A720" s="84"/>
    </row>
    <row r="721" ht="15.75" customHeight="1">
      <c r="A721" s="84"/>
    </row>
    <row r="722" ht="15.75" customHeight="1">
      <c r="A722" s="84"/>
    </row>
    <row r="723" ht="15.75" customHeight="1">
      <c r="A723" s="84"/>
    </row>
    <row r="724" ht="15.75" customHeight="1">
      <c r="A724" s="84"/>
    </row>
    <row r="725" ht="15.75" customHeight="1">
      <c r="A725" s="84"/>
    </row>
    <row r="726" ht="15.75" customHeight="1">
      <c r="A726" s="84"/>
    </row>
    <row r="727" ht="15.75" customHeight="1">
      <c r="A727" s="84"/>
    </row>
    <row r="728" ht="15.75" customHeight="1">
      <c r="A728" s="84"/>
    </row>
    <row r="729" ht="15.75" customHeight="1">
      <c r="A729" s="84"/>
    </row>
    <row r="730" ht="15.75" customHeight="1">
      <c r="A730" s="84"/>
    </row>
    <row r="731" ht="15.75" customHeight="1">
      <c r="A731" s="84"/>
    </row>
    <row r="732" ht="15.75" customHeight="1">
      <c r="A732" s="84"/>
    </row>
    <row r="733" ht="15.75" customHeight="1">
      <c r="A733" s="84"/>
    </row>
    <row r="734" ht="15.75" customHeight="1">
      <c r="A734" s="84"/>
    </row>
    <row r="735" ht="15.75" customHeight="1">
      <c r="A735" s="84"/>
    </row>
    <row r="736" ht="15.75" customHeight="1">
      <c r="A736" s="84"/>
    </row>
    <row r="737" ht="15.75" customHeight="1">
      <c r="A737" s="84"/>
    </row>
    <row r="738" ht="15.75" customHeight="1">
      <c r="A738" s="84"/>
    </row>
    <row r="739" ht="15.75" customHeight="1">
      <c r="A739" s="84"/>
    </row>
    <row r="740" ht="15.75" customHeight="1">
      <c r="A740" s="84"/>
    </row>
    <row r="741" ht="15.75" customHeight="1">
      <c r="A741" s="84"/>
    </row>
    <row r="742" ht="15.75" customHeight="1">
      <c r="A742" s="84"/>
    </row>
    <row r="743" ht="15.75" customHeight="1">
      <c r="A743" s="84"/>
    </row>
    <row r="744" ht="15.75" customHeight="1">
      <c r="A744" s="84"/>
    </row>
    <row r="745" ht="15.75" customHeight="1">
      <c r="A745" s="84"/>
    </row>
    <row r="746" ht="15.75" customHeight="1">
      <c r="A746" s="84"/>
    </row>
    <row r="747" ht="15.75" customHeight="1">
      <c r="A747" s="84"/>
    </row>
    <row r="748" ht="15.75" customHeight="1">
      <c r="A748" s="84"/>
    </row>
    <row r="749" ht="15.75" customHeight="1">
      <c r="A749" s="84"/>
    </row>
    <row r="750" ht="15.75" customHeight="1">
      <c r="A750" s="84"/>
    </row>
    <row r="751" ht="15.75" customHeight="1">
      <c r="A751" s="84"/>
    </row>
    <row r="752" ht="15.75" customHeight="1">
      <c r="A752" s="84"/>
    </row>
    <row r="753" ht="15.75" customHeight="1">
      <c r="A753" s="84"/>
    </row>
    <row r="754" ht="15.75" customHeight="1">
      <c r="A754" s="84"/>
    </row>
    <row r="755" ht="15.75" customHeight="1">
      <c r="A755" s="84"/>
    </row>
    <row r="756" ht="15.75" customHeight="1">
      <c r="A756" s="84"/>
    </row>
    <row r="757" ht="15.75" customHeight="1">
      <c r="A757" s="84"/>
    </row>
    <row r="758" ht="15.75" customHeight="1">
      <c r="A758" s="84"/>
    </row>
    <row r="759" ht="15.75" customHeight="1">
      <c r="A759" s="84"/>
    </row>
    <row r="760" ht="15.75" customHeight="1">
      <c r="A760" s="84"/>
    </row>
    <row r="761" ht="15.75" customHeight="1">
      <c r="A761" s="84"/>
    </row>
    <row r="762" ht="15.75" customHeight="1">
      <c r="A762" s="84"/>
    </row>
    <row r="763" ht="15.75" customHeight="1">
      <c r="A763" s="84"/>
    </row>
    <row r="764" ht="15.75" customHeight="1">
      <c r="A764" s="84"/>
    </row>
    <row r="765" ht="15.75" customHeight="1">
      <c r="A765" s="84"/>
    </row>
    <row r="766" ht="15.75" customHeight="1">
      <c r="A766" s="84"/>
    </row>
    <row r="767" ht="15.75" customHeight="1">
      <c r="A767" s="84"/>
    </row>
    <row r="768" ht="15.75" customHeight="1">
      <c r="A768" s="84"/>
    </row>
    <row r="769" ht="15.75" customHeight="1">
      <c r="A769" s="84"/>
    </row>
    <row r="770" ht="15.75" customHeight="1">
      <c r="A770" s="84"/>
    </row>
    <row r="771" ht="15.75" customHeight="1">
      <c r="A771" s="84"/>
    </row>
    <row r="772" ht="15.75" customHeight="1">
      <c r="A772" s="84"/>
    </row>
    <row r="773" ht="15.75" customHeight="1">
      <c r="A773" s="84"/>
    </row>
    <row r="774" ht="15.75" customHeight="1">
      <c r="A774" s="84"/>
    </row>
    <row r="775" ht="15.75" customHeight="1">
      <c r="A775" s="84"/>
    </row>
    <row r="776" ht="15.75" customHeight="1">
      <c r="A776" s="84"/>
    </row>
    <row r="777" ht="15.75" customHeight="1">
      <c r="A777" s="84"/>
    </row>
    <row r="778" ht="15.75" customHeight="1">
      <c r="A778" s="84"/>
    </row>
    <row r="779" ht="15.75" customHeight="1">
      <c r="A779" s="84"/>
    </row>
    <row r="780" ht="15.75" customHeight="1">
      <c r="A780" s="84"/>
    </row>
    <row r="781" ht="15.75" customHeight="1">
      <c r="A781" s="84"/>
    </row>
    <row r="782" ht="15.75" customHeight="1">
      <c r="A782" s="84"/>
    </row>
    <row r="783" ht="15.75" customHeight="1">
      <c r="A783" s="84"/>
    </row>
    <row r="784" ht="15.75" customHeight="1">
      <c r="A784" s="84"/>
    </row>
    <row r="785" ht="15.75" customHeight="1">
      <c r="A785" s="84"/>
    </row>
    <row r="786" ht="15.75" customHeight="1">
      <c r="A786" s="84"/>
    </row>
    <row r="787" ht="15.75" customHeight="1">
      <c r="A787" s="84"/>
    </row>
    <row r="788" ht="15.75" customHeight="1">
      <c r="A788" s="84"/>
    </row>
    <row r="789" ht="15.75" customHeight="1">
      <c r="A789" s="84"/>
    </row>
    <row r="790" ht="15.75" customHeight="1">
      <c r="A790" s="84"/>
    </row>
    <row r="791" ht="15.75" customHeight="1">
      <c r="A791" s="84"/>
    </row>
    <row r="792" ht="15.75" customHeight="1">
      <c r="A792" s="84"/>
    </row>
    <row r="793" ht="15.75" customHeight="1">
      <c r="A793" s="84"/>
    </row>
    <row r="794" ht="15.75" customHeight="1">
      <c r="A794" s="84"/>
    </row>
    <row r="795" ht="15.75" customHeight="1">
      <c r="A795" s="84"/>
    </row>
    <row r="796" ht="15.75" customHeight="1">
      <c r="A796" s="84"/>
    </row>
    <row r="797" ht="15.75" customHeight="1">
      <c r="A797" s="84"/>
    </row>
    <row r="798" ht="15.75" customHeight="1">
      <c r="A798" s="84"/>
    </row>
    <row r="799" ht="15.75" customHeight="1">
      <c r="A799" s="84"/>
    </row>
    <row r="800" ht="15.75" customHeight="1">
      <c r="A800" s="84"/>
    </row>
    <row r="801" ht="15.75" customHeight="1">
      <c r="A801" s="84"/>
    </row>
    <row r="802" ht="15.75" customHeight="1">
      <c r="A802" s="84"/>
    </row>
    <row r="803" ht="15.75" customHeight="1">
      <c r="A803" s="84"/>
    </row>
    <row r="804" ht="15.75" customHeight="1">
      <c r="A804" s="84"/>
    </row>
    <row r="805" ht="15.75" customHeight="1">
      <c r="A805" s="84"/>
    </row>
    <row r="806" ht="15.75" customHeight="1">
      <c r="A806" s="84"/>
    </row>
    <row r="807" ht="15.75" customHeight="1">
      <c r="A807" s="84"/>
    </row>
    <row r="808" ht="15.75" customHeight="1">
      <c r="A808" s="84"/>
    </row>
    <row r="809" ht="15.75" customHeight="1">
      <c r="A809" s="84"/>
    </row>
    <row r="810" ht="15.75" customHeight="1">
      <c r="A810" s="84"/>
    </row>
    <row r="811" ht="15.75" customHeight="1">
      <c r="A811" s="84"/>
    </row>
    <row r="812" ht="15.75" customHeight="1">
      <c r="A812" s="84"/>
    </row>
    <row r="813" ht="15.75" customHeight="1">
      <c r="A813" s="84"/>
    </row>
    <row r="814" ht="15.75" customHeight="1">
      <c r="A814" s="84"/>
    </row>
    <row r="815" ht="15.75" customHeight="1">
      <c r="A815" s="84"/>
    </row>
    <row r="816" ht="15.75" customHeight="1">
      <c r="A816" s="84"/>
    </row>
    <row r="817" ht="15.75" customHeight="1">
      <c r="A817" s="84"/>
    </row>
    <row r="818" ht="15.75" customHeight="1">
      <c r="A818" s="84"/>
    </row>
    <row r="819" ht="15.75" customHeight="1">
      <c r="A819" s="84"/>
    </row>
    <row r="820" ht="15.75" customHeight="1">
      <c r="A820" s="84"/>
    </row>
    <row r="821" ht="15.75" customHeight="1">
      <c r="A821" s="84"/>
    </row>
    <row r="822" ht="15.75" customHeight="1">
      <c r="A822" s="84"/>
    </row>
    <row r="823" ht="15.75" customHeight="1">
      <c r="A823" s="84"/>
    </row>
    <row r="824" ht="15.75" customHeight="1">
      <c r="A824" s="84"/>
    </row>
    <row r="825" ht="15.75" customHeight="1">
      <c r="A825" s="84"/>
    </row>
    <row r="826" ht="15.75" customHeight="1">
      <c r="A826" s="84"/>
    </row>
    <row r="827" ht="15.75" customHeight="1">
      <c r="A827" s="84"/>
    </row>
    <row r="828" ht="15.75" customHeight="1">
      <c r="A828" s="84"/>
    </row>
    <row r="829" ht="15.75" customHeight="1">
      <c r="A829" s="84"/>
    </row>
    <row r="830" ht="15.75" customHeight="1">
      <c r="A830" s="84"/>
    </row>
    <row r="831" ht="15.75" customHeight="1">
      <c r="A831" s="84"/>
    </row>
    <row r="832" ht="15.75" customHeight="1">
      <c r="A832" s="84"/>
    </row>
    <row r="833" ht="15.75" customHeight="1">
      <c r="A833" s="84"/>
    </row>
    <row r="834" ht="15.75" customHeight="1">
      <c r="A834" s="84"/>
    </row>
    <row r="835" ht="15.75" customHeight="1">
      <c r="A835" s="84"/>
    </row>
    <row r="836" ht="15.75" customHeight="1">
      <c r="A836" s="84"/>
    </row>
    <row r="837" ht="15.75" customHeight="1">
      <c r="A837" s="84"/>
    </row>
    <row r="838" ht="15.75" customHeight="1">
      <c r="A838" s="84"/>
    </row>
    <row r="839" ht="15.75" customHeight="1">
      <c r="A839" s="84"/>
    </row>
    <row r="840" ht="15.75" customHeight="1">
      <c r="A840" s="84"/>
    </row>
    <row r="841" ht="15.75" customHeight="1">
      <c r="A841" s="84"/>
    </row>
    <row r="842" ht="15.75" customHeight="1">
      <c r="A842" s="84"/>
    </row>
    <row r="843" ht="15.75" customHeight="1">
      <c r="A843" s="84"/>
    </row>
    <row r="844" ht="15.75" customHeight="1">
      <c r="A844" s="84"/>
    </row>
    <row r="845" ht="15.75" customHeight="1">
      <c r="A845" s="84"/>
    </row>
    <row r="846" ht="15.75" customHeight="1">
      <c r="A846" s="84"/>
    </row>
    <row r="847" ht="15.75" customHeight="1">
      <c r="A847" s="84"/>
    </row>
    <row r="848" ht="15.75" customHeight="1">
      <c r="A848" s="84"/>
    </row>
    <row r="849" ht="15.75" customHeight="1">
      <c r="A849" s="84"/>
    </row>
    <row r="850" ht="15.75" customHeight="1">
      <c r="A850" s="84"/>
    </row>
    <row r="851" ht="15.75" customHeight="1">
      <c r="A851" s="84"/>
    </row>
    <row r="852" ht="15.75" customHeight="1">
      <c r="A852" s="84"/>
    </row>
    <row r="853" ht="15.75" customHeight="1">
      <c r="A853" s="84"/>
    </row>
    <row r="854" ht="15.75" customHeight="1">
      <c r="A854" s="84"/>
    </row>
    <row r="855" ht="15.75" customHeight="1">
      <c r="A855" s="84"/>
    </row>
    <row r="856" ht="15.75" customHeight="1">
      <c r="A856" s="84"/>
    </row>
    <row r="857" ht="15.75" customHeight="1">
      <c r="A857" s="84"/>
    </row>
    <row r="858" ht="15.75" customHeight="1">
      <c r="A858" s="84"/>
    </row>
    <row r="859" ht="15.75" customHeight="1">
      <c r="A859" s="84"/>
    </row>
    <row r="860" ht="15.75" customHeight="1">
      <c r="A860" s="84"/>
    </row>
    <row r="861" ht="15.75" customHeight="1">
      <c r="A861" s="84"/>
    </row>
    <row r="862" ht="15.75" customHeight="1">
      <c r="A862" s="84"/>
    </row>
    <row r="863" ht="15.75" customHeight="1">
      <c r="A863" s="84"/>
    </row>
    <row r="864" ht="15.75" customHeight="1">
      <c r="A864" s="84"/>
    </row>
    <row r="865" ht="15.75" customHeight="1">
      <c r="A865" s="84"/>
    </row>
    <row r="866" ht="15.75" customHeight="1">
      <c r="A866" s="84"/>
    </row>
    <row r="867" ht="15.75" customHeight="1">
      <c r="A867" s="84"/>
    </row>
    <row r="868" ht="15.75" customHeight="1">
      <c r="A868" s="84"/>
    </row>
    <row r="869" ht="15.75" customHeight="1">
      <c r="A869" s="84"/>
    </row>
    <row r="870" ht="15.75" customHeight="1">
      <c r="A870" s="84"/>
    </row>
    <row r="871" ht="15.75" customHeight="1">
      <c r="A871" s="84"/>
    </row>
    <row r="872" ht="15.75" customHeight="1">
      <c r="A872" s="84"/>
    </row>
    <row r="873" ht="15.75" customHeight="1">
      <c r="A873" s="84"/>
    </row>
    <row r="874" ht="15.75" customHeight="1">
      <c r="A874" s="84"/>
    </row>
    <row r="875" ht="15.75" customHeight="1">
      <c r="A875" s="84"/>
    </row>
    <row r="876" ht="15.75" customHeight="1">
      <c r="A876" s="84"/>
    </row>
    <row r="877" ht="15.75" customHeight="1">
      <c r="A877" s="84"/>
    </row>
    <row r="878" ht="15.75" customHeight="1">
      <c r="A878" s="84"/>
    </row>
    <row r="879" ht="15.75" customHeight="1">
      <c r="A879" s="84"/>
    </row>
    <row r="880" ht="15.75" customHeight="1">
      <c r="A880" s="84"/>
    </row>
    <row r="881" ht="15.75" customHeight="1">
      <c r="A881" s="84"/>
    </row>
    <row r="882" ht="15.75" customHeight="1">
      <c r="A882" s="84"/>
    </row>
    <row r="883" ht="15.75" customHeight="1">
      <c r="A883" s="84"/>
    </row>
    <row r="884" ht="15.75" customHeight="1">
      <c r="A884" s="84"/>
    </row>
    <row r="885" ht="15.75" customHeight="1">
      <c r="A885" s="84"/>
    </row>
    <row r="886" ht="15.75" customHeight="1">
      <c r="A886" s="84"/>
    </row>
    <row r="887" ht="15.75" customHeight="1">
      <c r="A887" s="84"/>
    </row>
    <row r="888" ht="15.75" customHeight="1">
      <c r="A888" s="84"/>
    </row>
    <row r="889" ht="15.75" customHeight="1">
      <c r="A889" s="84"/>
    </row>
    <row r="890" ht="15.75" customHeight="1">
      <c r="A890" s="84"/>
    </row>
    <row r="891" ht="15.75" customHeight="1">
      <c r="A891" s="84"/>
    </row>
    <row r="892" ht="15.75" customHeight="1">
      <c r="A892" s="84"/>
    </row>
    <row r="893" ht="15.75" customHeight="1">
      <c r="A893" s="84"/>
    </row>
    <row r="894" ht="15.75" customHeight="1">
      <c r="A894" s="84"/>
    </row>
    <row r="895" ht="15.75" customHeight="1">
      <c r="A895" s="84"/>
    </row>
    <row r="896" ht="15.75" customHeight="1">
      <c r="A896" s="84"/>
    </row>
    <row r="897" ht="15.75" customHeight="1">
      <c r="A897" s="84"/>
    </row>
    <row r="898" ht="15.75" customHeight="1">
      <c r="A898" s="84"/>
    </row>
    <row r="899" ht="15.75" customHeight="1">
      <c r="A899" s="84"/>
    </row>
    <row r="900" ht="15.75" customHeight="1">
      <c r="A900" s="84"/>
    </row>
    <row r="901" ht="15.75" customHeight="1">
      <c r="A901" s="84"/>
    </row>
    <row r="902" ht="15.75" customHeight="1">
      <c r="A902" s="84"/>
    </row>
    <row r="903" ht="15.75" customHeight="1">
      <c r="A903" s="84"/>
    </row>
    <row r="904" ht="15.75" customHeight="1">
      <c r="A904" s="84"/>
    </row>
    <row r="905" ht="15.75" customHeight="1">
      <c r="A905" s="84"/>
    </row>
    <row r="906" ht="15.75" customHeight="1">
      <c r="A906" s="84"/>
    </row>
    <row r="907" ht="15.75" customHeight="1">
      <c r="A907" s="84"/>
    </row>
    <row r="908" ht="15.75" customHeight="1">
      <c r="A908" s="84"/>
    </row>
    <row r="909" ht="15.75" customHeight="1">
      <c r="A909" s="84"/>
    </row>
    <row r="910" ht="15.75" customHeight="1">
      <c r="A910" s="84"/>
    </row>
    <row r="911" ht="15.75" customHeight="1">
      <c r="A911" s="84"/>
    </row>
    <row r="912" ht="15.75" customHeight="1">
      <c r="A912" s="84"/>
    </row>
    <row r="913" ht="15.75" customHeight="1">
      <c r="A913" s="84"/>
    </row>
    <row r="914" ht="15.75" customHeight="1">
      <c r="A914" s="84"/>
    </row>
    <row r="915" ht="15.75" customHeight="1">
      <c r="A915" s="84"/>
    </row>
    <row r="916" ht="15.75" customHeight="1">
      <c r="A916" s="84"/>
    </row>
    <row r="917" ht="15.75" customHeight="1">
      <c r="A917" s="84"/>
    </row>
    <row r="918" ht="15.75" customHeight="1">
      <c r="A918" s="84"/>
    </row>
    <row r="919" ht="15.75" customHeight="1">
      <c r="A919" s="84"/>
    </row>
    <row r="920" ht="15.75" customHeight="1">
      <c r="A920" s="84"/>
    </row>
    <row r="921" ht="15.75" customHeight="1">
      <c r="A921" s="84"/>
    </row>
    <row r="922" ht="15.75" customHeight="1">
      <c r="A922" s="84"/>
    </row>
    <row r="923" ht="15.75" customHeight="1">
      <c r="A923" s="84"/>
    </row>
    <row r="924" ht="15.75" customHeight="1">
      <c r="A924" s="84"/>
    </row>
    <row r="925" ht="15.75" customHeight="1">
      <c r="A925" s="84"/>
    </row>
    <row r="926" ht="15.75" customHeight="1">
      <c r="A926" s="84"/>
    </row>
    <row r="927" ht="15.75" customHeight="1">
      <c r="A927" s="84"/>
    </row>
    <row r="928" ht="15.75" customHeight="1">
      <c r="A928" s="84"/>
    </row>
    <row r="929" ht="15.75" customHeight="1">
      <c r="A929" s="84"/>
    </row>
    <row r="930" ht="15.75" customHeight="1">
      <c r="A930" s="84"/>
    </row>
    <row r="931" ht="15.75" customHeight="1">
      <c r="A931" s="84"/>
    </row>
    <row r="932" ht="15.75" customHeight="1">
      <c r="A932" s="84"/>
    </row>
    <row r="933" ht="15.75" customHeight="1">
      <c r="A933" s="84"/>
    </row>
    <row r="934" ht="15.75" customHeight="1">
      <c r="A934" s="84"/>
    </row>
    <row r="935" ht="15.75" customHeight="1">
      <c r="A935" s="84"/>
    </row>
    <row r="936" ht="15.75" customHeight="1">
      <c r="A936" s="84"/>
    </row>
    <row r="937" ht="15.75" customHeight="1">
      <c r="A937" s="84"/>
    </row>
    <row r="938" ht="15.75" customHeight="1">
      <c r="A938" s="84"/>
    </row>
    <row r="939" ht="15.75" customHeight="1">
      <c r="A939" s="84"/>
    </row>
    <row r="940" ht="15.75" customHeight="1">
      <c r="A940" s="84"/>
    </row>
    <row r="941" ht="15.75" customHeight="1">
      <c r="A941" s="84"/>
    </row>
    <row r="942" ht="15.75" customHeight="1">
      <c r="A942" s="84"/>
    </row>
    <row r="943" ht="15.75" customHeight="1">
      <c r="A943" s="84"/>
    </row>
    <row r="944" ht="15.75" customHeight="1">
      <c r="A944" s="84"/>
    </row>
    <row r="945" ht="15.75" customHeight="1">
      <c r="A945" s="84"/>
    </row>
    <row r="946" ht="15.75" customHeight="1">
      <c r="A946" s="84"/>
    </row>
    <row r="947" ht="15.75" customHeight="1">
      <c r="A947" s="84"/>
    </row>
    <row r="948" ht="15.75" customHeight="1">
      <c r="A948" s="84"/>
    </row>
    <row r="949" ht="15.75" customHeight="1">
      <c r="A949" s="84"/>
    </row>
    <row r="950" ht="15.75" customHeight="1">
      <c r="A950" s="84"/>
    </row>
    <row r="951" ht="15.75" customHeight="1">
      <c r="A951" s="84"/>
    </row>
    <row r="952" ht="15.75" customHeight="1">
      <c r="A952" s="84"/>
    </row>
    <row r="953" ht="15.75" customHeight="1">
      <c r="A953" s="84"/>
    </row>
    <row r="954" ht="15.75" customHeight="1">
      <c r="A954" s="84"/>
    </row>
    <row r="955" ht="15.75" customHeight="1">
      <c r="A955" s="84"/>
    </row>
    <row r="956" ht="15.75" customHeight="1">
      <c r="A956" s="84"/>
    </row>
    <row r="957" ht="15.75" customHeight="1">
      <c r="A957" s="84"/>
    </row>
    <row r="958" ht="15.75" customHeight="1">
      <c r="A958" s="84"/>
    </row>
    <row r="959" ht="15.75" customHeight="1">
      <c r="A959" s="84"/>
    </row>
    <row r="960" ht="15.75" customHeight="1">
      <c r="A960" s="84"/>
    </row>
    <row r="961" ht="15.75" customHeight="1">
      <c r="A961" s="84"/>
    </row>
    <row r="962" ht="15.75" customHeight="1">
      <c r="A962" s="84"/>
    </row>
    <row r="963" ht="15.75" customHeight="1">
      <c r="A963" s="84"/>
    </row>
    <row r="964" ht="15.75" customHeight="1">
      <c r="A964" s="84"/>
    </row>
    <row r="965" ht="15.75" customHeight="1">
      <c r="A965" s="84"/>
    </row>
    <row r="966" ht="15.75" customHeight="1">
      <c r="A966" s="84"/>
    </row>
    <row r="967" ht="15.75" customHeight="1">
      <c r="A967" s="84"/>
    </row>
    <row r="968" ht="15.75" customHeight="1">
      <c r="A968" s="84"/>
    </row>
    <row r="969" ht="15.75" customHeight="1">
      <c r="A969" s="84"/>
    </row>
    <row r="970" ht="15.75" customHeight="1">
      <c r="A970" s="84"/>
    </row>
    <row r="971" ht="15.75" customHeight="1">
      <c r="A971" s="84"/>
    </row>
    <row r="972" ht="15.75" customHeight="1">
      <c r="A972" s="84"/>
    </row>
    <row r="973" ht="15.75" customHeight="1">
      <c r="A973" s="84"/>
    </row>
    <row r="974" ht="15.75" customHeight="1">
      <c r="A974" s="84"/>
    </row>
    <row r="975" ht="15.75" customHeight="1">
      <c r="A975" s="84"/>
    </row>
    <row r="976" ht="15.75" customHeight="1">
      <c r="A976" s="84"/>
    </row>
    <row r="977" ht="15.75" customHeight="1">
      <c r="A977" s="84"/>
    </row>
    <row r="978" ht="15.75" customHeight="1">
      <c r="A978" s="84"/>
    </row>
    <row r="979" ht="15.75" customHeight="1">
      <c r="A979" s="84"/>
    </row>
    <row r="980" ht="15.75" customHeight="1">
      <c r="A980" s="84"/>
    </row>
    <row r="981" ht="15.75" customHeight="1">
      <c r="A981" s="84"/>
    </row>
    <row r="982" ht="15.75" customHeight="1">
      <c r="A982" s="84"/>
    </row>
    <row r="983" ht="15.75" customHeight="1">
      <c r="A983" s="84"/>
    </row>
    <row r="984" ht="15.75" customHeight="1">
      <c r="A984" s="84"/>
    </row>
    <row r="985" ht="15.75" customHeight="1">
      <c r="A985" s="84"/>
    </row>
    <row r="986" ht="15.75" customHeight="1">
      <c r="A986" s="84"/>
    </row>
    <row r="987" ht="15.75" customHeight="1">
      <c r="A987" s="84"/>
    </row>
    <row r="988" ht="15.75" customHeight="1">
      <c r="A988" s="84"/>
    </row>
    <row r="989" ht="15.75" customHeight="1">
      <c r="A989" s="84"/>
    </row>
    <row r="990" ht="15.75" customHeight="1">
      <c r="A990" s="84"/>
    </row>
    <row r="991" ht="15.75" customHeight="1">
      <c r="A991" s="84"/>
    </row>
    <row r="992" ht="15.75" customHeight="1">
      <c r="A992" s="84"/>
    </row>
    <row r="993" ht="15.75" customHeight="1">
      <c r="A993" s="84"/>
    </row>
    <row r="994" ht="15.75" customHeight="1">
      <c r="A994" s="84"/>
    </row>
    <row r="995" ht="15.75" customHeight="1">
      <c r="A995" s="84"/>
    </row>
    <row r="996" ht="15.75" customHeight="1">
      <c r="A996" s="84"/>
    </row>
    <row r="997" ht="15.75" customHeight="1">
      <c r="A997" s="84"/>
    </row>
    <row r="998" ht="15.75" customHeight="1">
      <c r="A998" s="84"/>
    </row>
    <row r="999" ht="15.75" customHeight="1">
      <c r="A999" s="84"/>
    </row>
    <row r="1000" ht="15.75" customHeight="1">
      <c r="A1000" s="84"/>
    </row>
    <row r="1001" ht="15.75" customHeight="1">
      <c r="A1001" s="84"/>
    </row>
  </sheetData>
  <mergeCells count="11">
    <mergeCell ref="E40:F40"/>
    <mergeCell ref="E41:F41"/>
    <mergeCell ref="E75:F75"/>
    <mergeCell ref="E76:F76"/>
    <mergeCell ref="A1:H1"/>
    <mergeCell ref="A2:H2"/>
    <mergeCell ref="A3:A4"/>
    <mergeCell ref="B3:B4"/>
    <mergeCell ref="C3:C4"/>
    <mergeCell ref="D3:D4"/>
    <mergeCell ref="E3:F3"/>
  </mergeCells>
  <hyperlinks>
    <hyperlink r:id="rId1" ref="A2"/>
    <hyperlink r:id="rId2" ref="E7"/>
    <hyperlink r:id="rId3" ref="E12"/>
    <hyperlink r:id="rId4" ref="E19"/>
    <hyperlink r:id="rId5" location="slide=id.p1" ref="E26"/>
    <hyperlink r:id="rId6" ref="E34"/>
    <hyperlink r:id="rId7" ref="E45"/>
    <hyperlink r:id="rId8" ref="E52"/>
    <hyperlink r:id="rId9" ref="E60"/>
    <hyperlink r:id="rId10" ref="E67"/>
    <hyperlink r:id="rId11" location="slide=id.p10" ref="E76"/>
    <hyperlink r:id="rId12" ref="G76"/>
  </hyperlinks>
  <printOptions/>
  <pageMargins bottom="0.75" footer="0.0" header="0.0" left="0.25" right="0.25" top="0.75"/>
  <pageSetup paperSize="9" scale="59" orientation="portrait"/>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7.57"/>
    <col customWidth="1" min="3" max="3" width="62.29"/>
  </cols>
  <sheetData>
    <row r="1">
      <c r="A1" s="3"/>
      <c r="B1" s="3"/>
      <c r="C1" s="3"/>
      <c r="D1" s="3"/>
    </row>
    <row r="2">
      <c r="A2" s="3"/>
      <c r="B2" s="3"/>
      <c r="C2" s="3"/>
      <c r="D2" s="3"/>
    </row>
    <row r="3">
      <c r="A3" s="3"/>
      <c r="B3" s="3"/>
      <c r="C3" s="3"/>
      <c r="D3" s="3"/>
    </row>
    <row r="4" ht="29.25" customHeight="1">
      <c r="A4" s="3"/>
      <c r="B4" s="5" t="s">
        <v>1</v>
      </c>
      <c r="C4" s="6" t="s">
        <v>2</v>
      </c>
      <c r="D4" s="3"/>
    </row>
    <row r="5" ht="43.5" customHeight="1">
      <c r="A5" s="3"/>
      <c r="B5" s="7" t="s">
        <v>3</v>
      </c>
      <c r="C5" s="8">
        <v>26.0</v>
      </c>
      <c r="D5" s="3"/>
    </row>
    <row r="6" ht="60.0" customHeight="1">
      <c r="A6" s="3"/>
      <c r="B6" s="9" t="s">
        <v>5</v>
      </c>
      <c r="C6" s="11" t="str">
        <f>vlookup($C$5,'Moon 5 - 6 Syllabus'!$B$5:$H$76,2,0)</f>
        <v>#REF!</v>
      </c>
      <c r="D6" s="3"/>
    </row>
    <row r="7" ht="39.75" customHeight="1">
      <c r="A7" s="3"/>
      <c r="B7" s="9" t="s">
        <v>6</v>
      </c>
      <c r="C7" s="13" t="str">
        <f>vlookup($C$5,'Moon 5 - 6 Syllabus'!$B$5:$H$76,3,0)</f>
        <v>#REF!</v>
      </c>
      <c r="D7" s="3"/>
    </row>
    <row r="8" ht="45.75" customHeight="1">
      <c r="A8" s="3"/>
      <c r="B8" s="15" t="s">
        <v>8</v>
      </c>
      <c r="C8" s="17" t="str">
        <f>vlookup($C$5,'Moon 5 - 6 Syllabus'!$B$5:$H$76,4,0)</f>
        <v>#REF!</v>
      </c>
      <c r="D8" s="3"/>
    </row>
    <row r="9" ht="57.75" customHeight="1">
      <c r="A9" s="3"/>
      <c r="B9" s="15" t="s">
        <v>11</v>
      </c>
      <c r="C9" s="17" t="str">
        <f>vlookup($C$5,'Moon 5 - 6 Syllabus'!$B$5:$H$76,5,0)</f>
        <v>#REF!</v>
      </c>
      <c r="D9" s="3"/>
    </row>
    <row r="10" ht="74.25" customHeight="1">
      <c r="A10" s="3"/>
      <c r="B10" s="15" t="s">
        <v>12</v>
      </c>
      <c r="C10" s="17" t="str">
        <f>vlookup($C$5,'Moon 5 - 6 Syllabus'!$B$5:$H$76,6,0)</f>
        <v>#REF!</v>
      </c>
      <c r="D10" s="3"/>
    </row>
    <row r="11" ht="57.75" customHeight="1">
      <c r="A11" s="3"/>
      <c r="B11" s="15" t="s">
        <v>13</v>
      </c>
      <c r="C11" s="21"/>
      <c r="D11" s="3"/>
    </row>
    <row r="12">
      <c r="A12" s="3"/>
      <c r="B12" s="3"/>
      <c r="C12" s="3"/>
      <c r="D1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
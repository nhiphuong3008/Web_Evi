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6" sheetId="1" r:id="rId4"/>
    <sheet state="visible" name="Trang tính3" sheetId="2" r:id="rId5"/>
  </sheets>
  <definedNames/>
  <calcPr/>
  <extLst>
    <ext uri="GoogleSheetsCustomDataVersion2">
      <go:sheetsCustomData xmlns:go="http://customooxmlschemas.google.com/" r:id="rId6" roundtripDataChecksum="ljvQdI0esY4H7wUbtuw2j94D6H/vLs006A36RIELWTU="/>
    </ext>
  </extLst>
</workbook>
</file>

<file path=xl/sharedStrings.xml><?xml version="1.0" encoding="utf-8"?>
<sst xmlns="http://schemas.openxmlformats.org/spreadsheetml/2006/main" count="511" uniqueCount="289">
  <si>
    <t>SUN-HAPPY TREE 6 SYLLABUS</t>
  </si>
  <si>
    <t>DATES</t>
  </si>
  <si>
    <t>LESSONS</t>
  </si>
  <si>
    <t>UNITS</t>
  </si>
  <si>
    <t>Student's book
PAGES</t>
  </si>
  <si>
    <t>CONTENTS</t>
  </si>
  <si>
    <t>Vocabulary</t>
  </si>
  <si>
    <t>Gramamr/Structures</t>
  </si>
  <si>
    <t>Lesson target</t>
  </si>
  <si>
    <t>Homework</t>
  </si>
  <si>
    <t>Activity book pages</t>
  </si>
  <si>
    <t>Handbook</t>
  </si>
  <si>
    <t>E-learning
(Assigned by CM)</t>
  </si>
  <si>
    <t>TERM A (UNIT HELLO THERE! - UNIT 4)</t>
  </si>
  <si>
    <t>UNIT 0
HIGH TECHNOLOGY</t>
  </si>
  <si>
    <t>4-5</t>
  </si>
  <si>
    <t>- Introduce the topic, use mind-mapping to explore technology words</t>
  </si>
  <si>
    <t>- Present simple tense review</t>
  </si>
  <si>
    <t xml:space="preserve">- Students can name all technology words as many as they can. (Use mind-mapping) </t>
  </si>
  <si>
    <t>Language 1 - 2</t>
  </si>
  <si>
    <t>- Kid's Box reports: Technology
screen, headphones, microphone, file, email, upload, app, laptops, tablets, smartphones, online, wi-fi, video games, chat, competition, smart speaker, turn on/off
- Activities with song</t>
  </si>
  <si>
    <t>- Present simple: can and can't
- Present simple: have/has got</t>
  </si>
  <si>
    <t>- Students remember new words.
- Students understand the important of technology in our lives.</t>
  </si>
  <si>
    <t>Vocabulary 1-2</t>
  </si>
  <si>
    <t>x</t>
  </si>
  <si>
    <t>8-9</t>
  </si>
  <si>
    <t>- Sounds: stressed words
- Life skills: Being a good school citizen
- Story: Diggory bones</t>
  </si>
  <si>
    <t>We can write ...
We have to ...
I think it's important to...</t>
  </si>
  <si>
    <t>- Students practice the pronunciation
- Students can ask friends about their techonology things they have got
- With the story, make 3 questions so students will answer them after the story</t>
  </si>
  <si>
    <t>Reading 1 and 2</t>
  </si>
  <si>
    <t>REVIEW</t>
  </si>
  <si>
    <t>Review Unit 0 vocabulary
- Technology</t>
  </si>
  <si>
    <t>- Present simple: have/has got
- Present simple: can and can't</t>
  </si>
  <si>
    <t>- Teachers help students to make speaking structure.
- Students can use grammar to talk about their project.</t>
  </si>
  <si>
    <t>No homework</t>
  </si>
  <si>
    <t>Unit 0 Game 1 &amp; 2</t>
  </si>
  <si>
    <t>UNIT 1
BEASTLY TALES</t>
  </si>
  <si>
    <t>10-11</t>
  </si>
  <si>
    <t>- Introduce the topic, use mind-mapping to explore animals words.</t>
  </si>
  <si>
    <t>- Future: be going to</t>
  </si>
  <si>
    <t>- Students understand the topic
- Students can name all TV words as much as they can
- Students use grammar correctly.</t>
  </si>
  <si>
    <t>12-13</t>
  </si>
  <si>
    <t>- Kid's Box reports: Myths
+ eagle, claws, horn, feathers, scales, dragon, nest, mermaid, griffins, breathe, centaur, unicorn, sirens, harpies
- Activity with song.</t>
  </si>
  <si>
    <t>- Present simple review: have/has got
- Relative clauses: Who, where, which</t>
  </si>
  <si>
    <t>- Students remember new words
- Students can name some beasts they know from movie.</t>
  </si>
  <si>
    <t>Vocabulary 1</t>
  </si>
  <si>
    <t>11 &amp; 13</t>
  </si>
  <si>
    <t>Review Kid's Box reports: eagle, claws, horn, feathers, scales, dragon, nest, mermaid, griffins, breathe, centaur, unicorn, sirens, harpies</t>
  </si>
  <si>
    <t>Vocabulary 2</t>
  </si>
  <si>
    <t>14-15</t>
  </si>
  <si>
    <t>- Sounds: word endings -ing
- Life skills: Supporting your friends
- Story: Diggory bones</t>
  </si>
  <si>
    <t>Good luck with ...
Go for it!
You're good at it!
We're right here with you!</t>
  </si>
  <si>
    <t>- Student learn some words start with /th/ sound. Encourage students to say more words.
- With the story, make 3 questions so students will answer them after the story
- With writing, students can write at least 20 words.</t>
  </si>
  <si>
    <t>Grammar 3</t>
  </si>
  <si>
    <t>16-17</t>
  </si>
  <si>
    <t>- History: toys and games
+ popular, counters, bone, dice, sides, terracotta, ancient, similar to</t>
  </si>
  <si>
    <t>Relative clause: Who and which</t>
  </si>
  <si>
    <t>- Students understand the topic and review the grammar.</t>
  </si>
  <si>
    <t>Reading 1 &amp; 2</t>
  </si>
  <si>
    <t>REVIEW
&amp;
TEST</t>
  </si>
  <si>
    <t>- Review Unit 1 vocabulary and grammar
- Unit 1 paper test</t>
  </si>
  <si>
    <t>- Students can do the test without any assistant
- Students can stand in front of class and talk about their favorite TV program.</t>
  </si>
  <si>
    <t>Game 1 &amp; 2</t>
  </si>
  <si>
    <t>UNIT 2
TOMORROW'S WORLD</t>
  </si>
  <si>
    <t>18-19</t>
  </si>
  <si>
    <t>- Introduce the topic, use mind-mapping to explore transport words.
- Activity with song</t>
  </si>
  <si>
    <t>- Future: will and won't</t>
  </si>
  <si>
    <t>- Students understand the topic
- Students can name transport words as much as they can
- Students can use grammar to talk about their future life.</t>
  </si>
  <si>
    <t>Vocabulary 1
Grammar 2</t>
  </si>
  <si>
    <t>20-21</t>
  </si>
  <si>
    <t>- Kid's Box reports: Space Travel
space, air, earth, rocket, moon, astronaut, engineer, businessman, tourist, float, transport</t>
  </si>
  <si>
    <t>- Review future tense: will and won't
- Connectors: after that, because, before, then, when</t>
  </si>
  <si>
    <t>- Students remember new words
- Students can say what will they do if they  have a space travel</t>
  </si>
  <si>
    <t>18 &amp; 21</t>
  </si>
  <si>
    <t>Review Kid's Box reports: Space Travel
space, air, earth, rocket, moon, astronaut, engineer, businessman, tourist, float, transport</t>
  </si>
  <si>
    <t>22-23</t>
  </si>
  <si>
    <t>- Sounds: strong words
- Life skills: Choosing a point of view
- Story: Diggory bones</t>
  </si>
  <si>
    <t>In the future, I think we'll ..
We won't ...
I agree/ I don't agree ...
because ...</t>
  </si>
  <si>
    <t>- Student practice pronunciation with contractions
- With the story, make 3 questions so students will answer them after the story
- Students can write at least 20 words about their future</t>
  </si>
  <si>
    <t>Grammar 1
Vocabulary 3</t>
  </si>
  <si>
    <t>24-25</t>
  </si>
  <si>
    <t>- Physics: Robots
+ computer technology, produce, perform, surgery, remote surgery, built-in alarm, entertain, robot devices, robot vehicles, research</t>
  </si>
  <si>
    <t>Learn to write instructions</t>
  </si>
  <si>
    <t>- Students understand the topic and remember the planets
- Students remember the order of planets from the Sun.</t>
  </si>
  <si>
    <t>- Review Unit 2 vocabulary and grammar
- Unit 2 paper test</t>
  </si>
  <si>
    <t>- Students can do the test without any assistant
- Students can stand in front of class and talk about their future jobs.</t>
  </si>
  <si>
    <t>UNIT 3
THE GREAT OURDOOR</t>
  </si>
  <si>
    <t>28-29</t>
  </si>
  <si>
    <t>- Introduce the topic, use mind-mapping to explore countryside words.
- Activity with song</t>
  </si>
  <si>
    <t>Past continuous
- I was jumping over a rock when I fell.
- Were you playing when you broke your arm?
No, I wasn't playing.</t>
  </si>
  <si>
    <t>- Students understand the topic
- Students can name countryside words as many as they can
- Students can use grammar correctly.</t>
  </si>
  <si>
    <t>Vocabulary 3
Grammar 2</t>
  </si>
  <si>
    <t>30-31</t>
  </si>
  <si>
    <t>- Kid's Box reports: explorers
+ north, south, east, west, explorer, tent, torch, rucksack, sleeping bag, camp, flashlight, adventures, journey
- Writing: Write an adventure</t>
  </si>
  <si>
    <t>Review Past continuous</t>
  </si>
  <si>
    <t>- Students remember new words
- Students know famous explorers in the world
- Students finish writing activity</t>
  </si>
  <si>
    <t>28 &amp; 31</t>
  </si>
  <si>
    <t>- Review countryside words
- Review Kid's Box reports: explorers
+ north, south, east, west, explorer, tent, torch, rucksack, sleeping bag, camp, flashlight, adventures, journey</t>
  </si>
  <si>
    <t>Grammar 1</t>
  </si>
  <si>
    <t>32-33</t>
  </si>
  <si>
    <t>- Sounds: /b/, /v/ and /w/ sounds
- Life skills: Imagining posibilities
- Story: Diggory bones</t>
  </si>
  <si>
    <t>Past simple and past continuous</t>
  </si>
  <si>
    <t>- Student practice consonant sound 'k'
- With the story, make 3 questions so students will answer them after the story
- Students can write at least 20 words in writing exercise
- Students understand the topic of video</t>
  </si>
  <si>
    <t>34-35</t>
  </si>
  <si>
    <t>- Geography: mountains
+ landform, high above, mountain range, plates, mountain rage, plates, Earth's crust, forming, peak</t>
  </si>
  <si>
    <t>Like + ing to talk about what we enjoy
Would like + infinitive to talk about what we want to do</t>
  </si>
  <si>
    <t>- Students understand the topic and the different between lanscape painting with others.</t>
  </si>
  <si>
    <t>Vocabulary 2
Grammar 3</t>
  </si>
  <si>
    <t>- Review Unit 3 vocabulary and grammar
- Unit 3 paper test</t>
  </si>
  <si>
    <t>- Students can do the test without any assistant
- Students can stand in front of class and talk about their famous artist</t>
  </si>
  <si>
    <t>Game 1 and 2</t>
  </si>
  <si>
    <t>UNIT 4
FOOD, GLORIOUS FOOD</t>
  </si>
  <si>
    <t>36-37</t>
  </si>
  <si>
    <t>- Introduce the topic, use mind-mapping to explore food words.</t>
  </si>
  <si>
    <t>- Enough/ Too many/ too much
- Future and present perfect tense</t>
  </si>
  <si>
    <t>- Students understand the topic
- Students can name food words as many as they can
- Students can use grammar correctly.</t>
  </si>
  <si>
    <t>38-39</t>
  </si>
  <si>
    <t>- Review food words
- Kid's Box reports: Food
+ Sushi, dish, chopsticks, pizza, pasta, sauce, paella, pan, snack, popcorn, butter,  biscuits, fruit, jam, peanuts</t>
  </si>
  <si>
    <t>- Use enough/too many and there is/are with countable and uncountable nouns.</t>
  </si>
  <si>
    <t>- Students remember new words
- Students know how to make food of the lesson.</t>
  </si>
  <si>
    <t>36 &amp; 39</t>
  </si>
  <si>
    <t>- Review food words
- Review Kid's Box reports: Food
+ Sushi, dish, chopsticks, pizza, pasta, sauce, paella, pan, snack, popcorn, butter,  biscuits, fruit, jam, peanuts</t>
  </si>
  <si>
    <t>A2 Flyers + Values</t>
  </si>
  <si>
    <t>40-41</t>
  </si>
  <si>
    <t>- Sounds: strong words
- Life skills: Exploring food from other cultures
- Story: Diggory bones</t>
  </si>
  <si>
    <t>So let's ...
Where is/are ... from?
If you want, we can ...
Cool, why not?</t>
  </si>
  <si>
    <t>- Student practice /gh/ sound
- With the story, make 3 questions so students will answer them after the story
- Students can write at least 20 words in writing exercise
- Students understand how to make food in the video</t>
  </si>
  <si>
    <t>Sound and Life Skills
Story</t>
  </si>
  <si>
    <t>42-43</t>
  </si>
  <si>
    <t>- Biology: apples
+ raw, vitamins, minerals, skin, mild, orchard, seeds, polimate, harvest time</t>
  </si>
  <si>
    <t>Learn to write sequencing words</t>
  </si>
  <si>
    <t>- Students understand the topic
- Students know how to keep food in safe condition.</t>
  </si>
  <si>
    <t>CLIL: biology</t>
  </si>
  <si>
    <t>- Review Unit 4 vocabulary and grammar
- Unit 4 paper test</t>
  </si>
  <si>
    <t>- Enough/ Too many
- Future and present perfect tense
- Use enough/too many and there is/are with countable and uncountable nouns.</t>
  </si>
  <si>
    <t>- Students can do the test without any assistant
- Students understand the value of lesson
- Students can stand in front of class and talk about their favourite food.</t>
  </si>
  <si>
    <t>Review + Game</t>
  </si>
  <si>
    <t>REVIEW UNIT 1</t>
  </si>
  <si>
    <t>10-17</t>
  </si>
  <si>
    <t>Review Unit 1 vocabulary
- Animals
- Myth legends</t>
  </si>
  <si>
    <t>Students review for the mid-term test</t>
  </si>
  <si>
    <t>Unit 1 Review + Game</t>
  </si>
  <si>
    <t>REVIEW UNIT 2</t>
  </si>
  <si>
    <t>18-27</t>
  </si>
  <si>
    <t>Review Unit 2 vocabulary
- Space travel
- Solar system</t>
  </si>
  <si>
    <t>Unit 2 Review + Game</t>
  </si>
  <si>
    <t>REVIEW UNIT 3</t>
  </si>
  <si>
    <t>28-35</t>
  </si>
  <si>
    <t>Review Unit 3 vocabulary
- Explorers</t>
  </si>
  <si>
    <t>Unit 3 Review + Game</t>
  </si>
  <si>
    <t>REVIEW UNIT 4</t>
  </si>
  <si>
    <t>36-43</t>
  </si>
  <si>
    <t>Review Unit 4 vocabulary
- Food</t>
  </si>
  <si>
    <t>Unit 4 Review + Game</t>
  </si>
  <si>
    <t>TEST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</si>
  <si>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</si>
  <si>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</si>
  <si>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</si>
  <si>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</si>
  <si>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YLE PRACTICE</t>
  </si>
  <si>
    <t>Link</t>
  </si>
  <si>
    <t>EXTRA BOOK: FUN FOR FLYERS (Unit 29-35)</t>
  </si>
  <si>
    <t>- Students practice Flyers Cambridge exam
- Teachers ask students to open Handbook</t>
  </si>
  <si>
    <t>EXTRA BOOK: FUN FOR FLYERS (Unit 36-42)</t>
  </si>
  <si>
    <t>TERM B (UNIT 5 - UNIT 8)</t>
  </si>
  <si>
    <t>UNIT 5
UNDER THE SEA</t>
  </si>
  <si>
    <t>46-47</t>
  </si>
  <si>
    <t>- Introduce the topic, use mind-mapping to explore sea words.
- Activity with song</t>
  </si>
  <si>
    <t>Present perfect with "still"
- We still haven't chosen a project
- Has he playe with the sand?
Yes, he has./ No, he hasn't.</t>
  </si>
  <si>
    <t>- Students understand the topic
- Students can name sea words as many as they can
- Students can use grammar correctly.</t>
  </si>
  <si>
    <t>Grammar 1 &amp; 3</t>
  </si>
  <si>
    <t>48-49</t>
  </si>
  <si>
    <t>- Kid's Box reports: Sea animals
+ seal, turtle, mammal, crab, claw, lobster, shell, coral reef, octopus, squid, jellyfish, ocean</t>
  </si>
  <si>
    <t>Present perfect with 'for' and 'since'</t>
  </si>
  <si>
    <t>- Students remember new words
- Students know general information of sea animals in the ezine.</t>
  </si>
  <si>
    <t>46 &amp; 49</t>
  </si>
  <si>
    <t>- Review sea words
- Review Kid's Box reports: Sea animals
+ seal, turtle, mammal, crab, claw, lobster, shell, coral reef, octopus, squid, jellyfish, ocean</t>
  </si>
  <si>
    <t>Grammar 2</t>
  </si>
  <si>
    <t>50-51</t>
  </si>
  <si>
    <t>- Sounds: /p/, /b/, /d/ and /ð/
- Life skills: Finding out more
- Story: Diggory bones</t>
  </si>
  <si>
    <t>What's happening...?
They've found...</t>
  </si>
  <si>
    <t>- Student practice stress syllables
- With the story, make 3 questions so students will answer them after the story
- Students can make questions to ask their friends</t>
  </si>
  <si>
    <t>52-53</t>
  </si>
  <si>
    <t>- Enviroment: Renewable energy
+ energy, fossil fuels, pollution, enviroment, renewable energy, wind turbines, wind energy, solar energy, solar panels, silicon, hydro energy</t>
  </si>
  <si>
    <t>Learn about topic sentences</t>
  </si>
  <si>
    <t>- Students understand the food and make the food web.
- Students understand the improtant of food chain.</t>
  </si>
  <si>
    <t>Vocabulary 2 &amp; 3</t>
  </si>
  <si>
    <t>- Review Unit 5 vocabulary and grammar
- Unit 5 paper test</t>
  </si>
  <si>
    <t>- Students can do the test without any assistant
- Students can stand in front of class and talk about a sea animal</t>
  </si>
  <si>
    <t>EXTRA BOOKS
STORY FUN 6</t>
  </si>
  <si>
    <t>Topic 1: Swan Island</t>
  </si>
  <si>
    <t>Students read the story and practice YLE exercises</t>
  </si>
  <si>
    <t>UNIT 6
FREE TIME</t>
  </si>
  <si>
    <t>54-55</t>
  </si>
  <si>
    <t>- Introduce the topic, use mind-mapping to explore free time words.</t>
  </si>
  <si>
    <t>Quantifiers: some/any/every</t>
  </si>
  <si>
    <t>- Students understand the topic
- Students can name free time words as many as they can
- Students can use grammar correctly.</t>
  </si>
  <si>
    <t>Grammar 1 &amp; 2</t>
  </si>
  <si>
    <t>56-57</t>
  </si>
  <si>
    <t>- Kid's Box reports: Hobbies
+ clothes design, sew, skateboard, trick, mountain bike, bike trail, puzzle, board game, chess, play an instrument, beatbox, ballet dancer
- Activity with song</t>
  </si>
  <si>
    <t>- Review quantifiers</t>
  </si>
  <si>
    <t>- Students remember new words
- Students can talk about their hobbies</t>
  </si>
  <si>
    <t>54 &amp; 57</t>
  </si>
  <si>
    <t>- Review free time words
- Review Kid's Box reports: Hobbies
+ clothes design, sew, skateboard, trick, mountain bike, bike trail, puzzle, board game, chess, play an instrument, beatbox, ballet dancer</t>
  </si>
  <si>
    <t>58-59</t>
  </si>
  <si>
    <t>- Sounds: intonation in questions
- Life skills: Imagining and inventing
- Story: Diggory bones</t>
  </si>
  <si>
    <t>I've got an idea!
We can use ... to ...
...'s invented a game</t>
  </si>
  <si>
    <t>- Student practice short vowel "u"
- With the story, make 3 questions so students will answer them after the story
- Students understand the video topic</t>
  </si>
  <si>
    <t>60-61</t>
  </si>
  <si>
    <t>Design: Rollercoasters
+ train, gravity, track, twists, turns, loops, upside down, wheels, fall off, harness</t>
  </si>
  <si>
    <t>Learn about adjectives to make stories more interesting</t>
  </si>
  <si>
    <t>- Students know different type of music</t>
  </si>
  <si>
    <t>- Review Unit 6 vocabulary and grammar
- Unit 6 paper test</t>
  </si>
  <si>
    <t>- Students can do the test without any assistant
- Students understand the value of lesson
- Students can stand in front of class and talk about their hobbies</t>
  </si>
  <si>
    <t>20-27</t>
  </si>
  <si>
    <t>Topic 3: Frank's funny shopping trip</t>
  </si>
  <si>
    <t>UNIT 7
FASHION SENSE</t>
  </si>
  <si>
    <t>64-65</t>
  </si>
  <si>
    <t>- Introduce the topic, use mind-mapping to explore clothes words.</t>
  </si>
  <si>
    <t>- Future tense: be going to
- Posibility: May/might</t>
  </si>
  <si>
    <t>- Students understand the topic
- Students can name clothes words as many as they can
- Students can use grammar correctly.</t>
  </si>
  <si>
    <t>66-67</t>
  </si>
  <si>
    <t>- Kid's Box reports: Fashion
+ Buttons, decorate, umbrella, protected, light, shorts, gloves, belt, pocket, tight, thin, thick, heavy, nylon
- Activity with song.</t>
  </si>
  <si>
    <t>- Review posibility: May/might
- Present continuous and present simple to talk about clothes</t>
  </si>
  <si>
    <t>- Students remember new words
- Students can talk about clothes of characters in the picture</t>
  </si>
  <si>
    <t>64 &amp; 67</t>
  </si>
  <si>
    <t>- Review clothes words
- Review Kid's Box reports: Fashion
+ Buttons, decorate, umbrella, protected, light, shorts, gloves, belt, pocket, tight, thin, thick, heavy, nylon</t>
  </si>
  <si>
    <t>Vocabulary 3</t>
  </si>
  <si>
    <t>68-69</t>
  </si>
  <si>
    <t>- Sounds: connected speech
- Life skills: Planning together
- Story: Diggory bones</t>
  </si>
  <si>
    <t>We might want to ...
How about ...
Having orange balloons may be better</t>
  </si>
  <si>
    <t>- Student practice intonation to express feeling
- With the story, make 3 questions so students will answer them after the story</t>
  </si>
  <si>
    <t>70-71</t>
  </si>
  <si>
    <t>- History: Clothes
+ feathers, earings, silk, cotton, leather, fur, bones, shells.</t>
  </si>
  <si>
    <t>- Present simple and present perfect tense</t>
  </si>
  <si>
    <t>- Students understand the history of clothes and tradditional clothes of some countries.</t>
  </si>
  <si>
    <t>- Review Unit 7 vocabulary and grammar
- Unit 7 paper test</t>
  </si>
  <si>
    <t>- Students can do the test without any assistant
- Students can stand in front of class and talk about their clothes</t>
  </si>
  <si>
    <t>Topic 5: Katy's favourite song</t>
  </si>
  <si>
    <t>UNIT 8
AROUND THE WORLD</t>
  </si>
  <si>
    <t>72-73</t>
  </si>
  <si>
    <t>- Introduce the topic, use mind-mapping to brainstorm the countries
- Activity with song</t>
  </si>
  <si>
    <t>Present perfect with already, just and yet
- I've already found four.
- I've just tidied my desk.</t>
  </si>
  <si>
    <t>- Students understand the topic
- Students can name countries as many as they can
- Students can use grammar correctly.</t>
  </si>
  <si>
    <t>74-75</t>
  </si>
  <si>
    <t>- Kid's Box reports: Countries
+ Brazil, India, France, Mexico, Germany, Portugal, Greece, Spain, China
+ Brazilian, Indian, French, Mexican, German, Portuguese, Greek, Spanish, Chinese</t>
  </si>
  <si>
    <t>- Review present perfect
- Regular and irregular past participles</t>
  </si>
  <si>
    <t>- Students remember new words
- Students know the capital city and languages of the countries in the paragraph.</t>
  </si>
  <si>
    <t>72 &amp; 75</t>
  </si>
  <si>
    <t>- Review Kid's Box reports: Countries
+ Brazil, India, France, Mexico, Germany, Portugal, Greece, Spain, China
+ Brazilian, Indian, French, Mexican, German, Portuguese, Greek, Spanish, Chinese</t>
  </si>
  <si>
    <t>76-77</t>
  </si>
  <si>
    <t>- Sounds: stressed words
- Life skills: Understanding responsibilities
- Story: Diggory bones</t>
  </si>
  <si>
    <t>What do you do?
What's a typical day for you?
Do you have to ...?
Do you need to ...?</t>
  </si>
  <si>
    <t>- Student practice intonation in lists
- With the story, make 3 questions so students will answer them after the story</t>
  </si>
  <si>
    <t>78-79</t>
  </si>
  <si>
    <t>- Maths: Graphs and charts
+ abroad, currency, sightseeing, relaxing</t>
  </si>
  <si>
    <t>Superlatives</t>
  </si>
  <si>
    <t>- Students understand the history of English words and internation words from other countries.</t>
  </si>
  <si>
    <t>- Review Unit 8 vocabulary and grammar
- Unit 8 paper test</t>
  </si>
  <si>
    <t>- Students can do the test without any assistant
- Students understand the value of lesson
- Students can stand in front of class and talk about a country they like</t>
  </si>
  <si>
    <t>52-59</t>
  </si>
  <si>
    <t>Topic 7: The past and the future</t>
  </si>
  <si>
    <t>REVIEW UNIT 5</t>
  </si>
  <si>
    <t>46-53</t>
  </si>
  <si>
    <t>Review Unit 5 vocabulary
- Sea animals
- Food chains</t>
  </si>
  <si>
    <t>Students prepare for the Final test</t>
  </si>
  <si>
    <t>Unit 5 Game 1 &amp; 2</t>
  </si>
  <si>
    <t>REVIEW UNIT 6</t>
  </si>
  <si>
    <t>54-61</t>
  </si>
  <si>
    <t>Review Unit 6 vocabulary
- Hobbies
- Popular music</t>
  </si>
  <si>
    <t>Unit 6 Game 1 &amp; 2</t>
  </si>
  <si>
    <t>REVIEW UNIT 7</t>
  </si>
  <si>
    <t>64-71</t>
  </si>
  <si>
    <t>Review Unit 7 vocabulary
- Fashion
- Clothes</t>
  </si>
  <si>
    <t>Unit 7 Game 1 &amp; 2</t>
  </si>
  <si>
    <t>REVIEW UNIT 8</t>
  </si>
  <si>
    <t>72-79</t>
  </si>
  <si>
    <t>Review Unit 8 vocabulary
- Countries</t>
  </si>
  <si>
    <t>END OF LEVEL TEST - LISTENING, READING, WRITING
(For Listening, each part will be listened in 2 times)</t>
  </si>
  <si>
    <t>END OF TERM LEVEL SPEAKING TEST
(Teachers prepare worksheets for students to do in class)</t>
  </si>
  <si>
    <t>EXTRA BOOK: FUN FOR FLYERS (Unit 43-49)</t>
  </si>
  <si>
    <t>EXTRA BOOK: FUN FOR FLYERS (Unit 22-28)</t>
  </si>
  <si>
    <t>Grade</t>
  </si>
  <si>
    <t>Cột 2</t>
  </si>
  <si>
    <t xml:space="preserve">Student's book
 &amp; Activity's book pages 
</t>
  </si>
  <si>
    <r>
      <rPr>
        <rFont val="Roboto"/>
        <b/>
        <color rgb="FFA61C00"/>
        <sz val="10.0"/>
      </rPr>
      <t xml:space="preserve">Vocabulary
</t>
    </r>
    <r>
      <rPr>
        <rFont val="Roboto"/>
        <b/>
        <i/>
        <color rgb="FFA61C00"/>
        <sz val="10.0"/>
      </rPr>
      <t>Từ vựng</t>
    </r>
  </si>
  <si>
    <r>
      <rPr>
        <rFont val="Roboto"/>
        <b/>
        <color rgb="FFA61C00"/>
        <sz val="10.0"/>
      </rPr>
      <t xml:space="preserve">Structures
</t>
    </r>
    <r>
      <rPr>
        <rFont val="Roboto"/>
        <b/>
        <i/>
        <color rgb="FFA61C00"/>
        <sz val="10.0"/>
      </rPr>
      <t>Cấu trúc câu/ Ngữ pháp</t>
    </r>
  </si>
  <si>
    <t>Homework Handbook</t>
  </si>
  <si>
    <t xml:space="preserve"> E-learning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</si>
</sst>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\-m"/>
  </numFmts>
  <fonts count="17">
    <font>
      <sz val="11.0"/>
      <color theme="1"/>
      <name val="Calibri"/>
      <scheme val="minor"/>
    </font>
    <font>
      <b/>
      <sz val="35.0"/>
      <color theme="1"/>
      <name val="Calibri"/>
    </font>
    <font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Arial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b/>
      <sz val="10.0"/>
      <color theme="1"/>
      <name val="Roboto"/>
    </font>
    <font>
      <b/>
      <sz val="10.0"/>
      <color rgb="FFA61C00"/>
      <name val="Roboto"/>
    </font>
    <font>
      <b/>
      <sz val="10.0"/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</border>
    <border>
      <right style="thin">
        <color rgb="FF000000"/>
      </right>
    </border>
    <border>
      <top style="hair">
        <color rgb="FF000000"/>
      </top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2" fontId="3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2" fontId="3" numFmtId="0" xfId="0" applyAlignment="1" applyBorder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11" fillId="0" fontId="8" numFmtId="164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1" fillId="4" fontId="8" numFmtId="0" xfId="0" applyAlignment="1" applyBorder="1" applyFill="1" applyFont="1">
      <alignment horizontal="center" shrinkToFit="0" vertical="center" wrapText="1"/>
    </xf>
    <xf quotePrefix="1" borderId="11" fillId="0" fontId="8" numFmtId="0" xfId="0" applyAlignment="1" applyBorder="1" applyFont="1">
      <alignment horizontal="center" vertical="center"/>
    </xf>
    <xf quotePrefix="1" borderId="11" fillId="0" fontId="8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1" fillId="0" fontId="8" numFmtId="165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center" readingOrder="0" shrinkToFit="0" vertical="center" wrapText="1"/>
    </xf>
    <xf quotePrefix="1" borderId="11" fillId="0" fontId="8" numFmtId="16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1" fillId="5" fontId="3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center" vertical="center"/>
    </xf>
    <xf quotePrefix="1" borderId="11" fillId="0" fontId="8" numFmtId="17" xfId="0" applyAlignment="1" applyBorder="1" applyFont="1" applyNumberFormat="1">
      <alignment horizontal="center" vertical="center"/>
    </xf>
    <xf borderId="11" fillId="6" fontId="8" numFmtId="0" xfId="0" applyAlignment="1" applyBorder="1" applyFill="1" applyFont="1">
      <alignment horizontal="center" vertical="center"/>
    </xf>
    <xf quotePrefix="1" borderId="13" fillId="0" fontId="8" numFmtId="0" xfId="0" applyAlignment="1" applyBorder="1" applyFont="1">
      <alignment horizontal="center" shrinkToFit="0" vertical="center" wrapText="1"/>
    </xf>
    <xf borderId="11" fillId="5" fontId="3" numFmtId="0" xfId="0" applyAlignment="1" applyBorder="1" applyFont="1">
      <alignment horizontal="center" shrinkToFit="0" vertical="center" wrapText="1"/>
    </xf>
    <xf borderId="11" fillId="0" fontId="8" numFmtId="164" xfId="0" applyAlignment="1" applyBorder="1" applyFont="1" applyNumberFormat="1">
      <alignment horizontal="center" readingOrder="0" vertical="center"/>
    </xf>
    <xf borderId="11" fillId="0" fontId="8" numFmtId="17" xfId="0" applyAlignment="1" applyBorder="1" applyFont="1" applyNumberFormat="1">
      <alignment horizontal="center" vertical="center"/>
    </xf>
    <xf borderId="11" fillId="5" fontId="8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10" numFmtId="0" xfId="0" applyAlignment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1" fillId="7" fontId="11" numFmtId="0" xfId="0" applyAlignment="1" applyBorder="1" applyFill="1" applyFont="1">
      <alignment horizontal="center" vertical="center"/>
    </xf>
    <xf quotePrefix="1" borderId="11" fillId="0" fontId="8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16" fillId="3" fontId="6" numFmtId="0" xfId="0" applyAlignment="1" applyBorder="1" applyFont="1">
      <alignment horizontal="center" vertical="center"/>
    </xf>
    <xf borderId="17" fillId="0" fontId="5" numFmtId="0" xfId="0" applyBorder="1" applyFont="1"/>
    <xf borderId="18" fillId="3" fontId="6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shrinkToFit="0" vertical="center" wrapText="1"/>
    </xf>
    <xf borderId="11" fillId="0" fontId="8" numFmtId="166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vertical="center"/>
    </xf>
    <xf borderId="11" fillId="0" fontId="7" numFmtId="0" xfId="0" applyAlignment="1" applyBorder="1" applyFont="1">
      <alignment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1" fillId="0" fontId="7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center" shrinkToFit="0" vertical="center" wrapText="1"/>
    </xf>
    <xf borderId="11" fillId="5" fontId="7" numFmtId="16" xfId="0" applyAlignment="1" applyBorder="1" applyFont="1" applyNumberFormat="1">
      <alignment vertical="center"/>
    </xf>
    <xf borderId="1" fillId="7" fontId="13" numFmtId="16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14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1"/>
    </xf>
    <xf borderId="19" fillId="7" fontId="15" numFmtId="0" xfId="0" applyAlignment="1" applyBorder="1" applyFont="1">
      <alignment horizontal="center" shrinkToFit="0" vertical="center" wrapText="1"/>
    </xf>
    <xf borderId="20" fillId="7" fontId="16" numFmtId="0" xfId="0" applyAlignment="1" applyBorder="1" applyFont="1">
      <alignment horizontal="center" shrinkToFit="0" vertical="center" wrapText="0"/>
    </xf>
    <xf borderId="21" fillId="8" fontId="15" numFmtId="0" xfId="0" applyAlignment="1" applyBorder="1" applyFill="1" applyFont="1">
      <alignment horizontal="center" shrinkToFit="0" vertical="center" wrapText="1"/>
    </xf>
    <xf borderId="22" fillId="8" fontId="16" numFmtId="0" xfId="0" applyAlignment="1" applyBorder="1" applyFont="1">
      <alignment horizontal="center" shrinkToFit="0" vertical="center" wrapText="1"/>
    </xf>
    <xf borderId="21" fillId="8" fontId="15" numFmtId="0" xfId="0" applyAlignment="1" applyBorder="1" applyFont="1">
      <alignment horizontal="center" shrinkToFit="0" vertical="top" wrapText="1"/>
    </xf>
    <xf borderId="19" fillId="7" fontId="15" numFmtId="0" xfId="0" applyAlignment="1" applyBorder="1" applyFont="1">
      <alignment horizontal="center" shrinkToFit="0" vertical="top" wrapText="1"/>
    </xf>
    <xf borderId="23" fillId="8" fontId="15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ng tính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12" displayName="Table_1" name="Table_1" id="1">
  <tableColumns count="2">
    <tableColumn name="Grade" id="1"/>
    <tableColumn name="Cột 2" id="2"/>
  </tableColumns>
  <tableStyleInfo name="Trang tính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l4dtj4o4iPmZzfnqkoGybsCMIWsWBK6?usp=drive_link" TargetMode="External"/><Relationship Id="rId2" Type="http://schemas.openxmlformats.org/officeDocument/2006/relationships/hyperlink" Target="https://drive.google.com/drive/folders/1fUfXLibawhFbkAENpiO1Tp7BtvHrIxi1?usp=drive_link" TargetMode="External"/><Relationship Id="rId3" Type="http://schemas.openxmlformats.org/officeDocument/2006/relationships/hyperlink" Target="https://drive.google.com/drive/folders/1fUfXLibawhFbkAENpiO1Tp7BtvHrIxi1?usp=drive_link" TargetMode="External"/><Relationship Id="rId4" Type="http://schemas.openxmlformats.org/officeDocument/2006/relationships/hyperlink" Target="https://drive.google.com/drive/folders/1fUfXLibawhFbkAENpiO1Tp7BtvHrIxi1?usp=drive_link" TargetMode="External"/><Relationship Id="rId5" Type="http://schemas.openxmlformats.org/officeDocument/2006/relationships/hyperlink" Target="https://drive.google.com/drive/folders/1fUfXLibawhFbkAENpiO1Tp7BtvHrIxi1?usp=drive_link" TargetMode="External"/><Relationship Id="rId6" Type="http://schemas.openxmlformats.org/officeDocument/2006/relationships/hyperlink" Target="https://drive.google.com/drive/folders/1wl4dtj4o4iPmZzfnqkoGybsCMIWsWBK6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21.86"/>
    <col customWidth="1" min="4" max="4" width="11.71"/>
    <col customWidth="1" min="5" max="5" width="45.29"/>
    <col customWidth="1" min="6" max="6" width="53.0"/>
    <col customWidth="1" min="7" max="7" width="56.86"/>
    <col customWidth="1" min="8" max="8" width="21.57"/>
    <col customWidth="1" min="9" max="10" width="19.86"/>
    <col customWidth="1" min="11" max="25" width="8.71"/>
  </cols>
  <sheetData>
    <row r="1" ht="60.75" customHeight="1">
      <c r="A1" s="1" t="s">
        <v>0</v>
      </c>
      <c r="L1" s="2"/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6"/>
      <c r="J2" s="7"/>
      <c r="L2" s="2"/>
    </row>
    <row r="3" ht="21.0" customHeight="1">
      <c r="A3" s="8"/>
      <c r="B3" s="8"/>
      <c r="C3" s="8"/>
      <c r="D3" s="8"/>
      <c r="E3" s="3" t="s">
        <v>6</v>
      </c>
      <c r="F3" s="3" t="s">
        <v>7</v>
      </c>
      <c r="G3" s="3" t="s">
        <v>8</v>
      </c>
      <c r="H3" s="9" t="s">
        <v>9</v>
      </c>
      <c r="I3" s="10"/>
      <c r="J3" s="11"/>
      <c r="L3" s="2"/>
    </row>
    <row r="4" ht="55.5" customHeight="1">
      <c r="A4" s="12"/>
      <c r="B4" s="12"/>
      <c r="C4" s="8"/>
      <c r="D4" s="12"/>
      <c r="E4" s="12"/>
      <c r="F4" s="12"/>
      <c r="G4" s="12"/>
      <c r="H4" s="13" t="s">
        <v>10</v>
      </c>
      <c r="I4" s="13" t="s">
        <v>11</v>
      </c>
      <c r="J4" s="13" t="s">
        <v>12</v>
      </c>
      <c r="L4" s="2"/>
    </row>
    <row r="5" ht="42.0" customHeight="1">
      <c r="A5" s="14" t="s">
        <v>13</v>
      </c>
      <c r="B5" s="10"/>
      <c r="C5" s="10"/>
      <c r="D5" s="10"/>
      <c r="E5" s="10"/>
      <c r="F5" s="10"/>
      <c r="G5" s="10"/>
      <c r="H5" s="10"/>
      <c r="I5" s="10"/>
      <c r="J5" s="11"/>
      <c r="K5" s="15"/>
      <c r="L5" s="16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55.5" customHeight="1">
      <c r="A6" s="17">
        <v>46120.0</v>
      </c>
      <c r="B6" s="18">
        <v>1.0</v>
      </c>
      <c r="C6" s="19" t="s">
        <v>14</v>
      </c>
      <c r="D6" s="20" t="s">
        <v>15</v>
      </c>
      <c r="E6" s="21" t="s">
        <v>16</v>
      </c>
      <c r="F6" s="21" t="s">
        <v>17</v>
      </c>
      <c r="G6" s="21" t="s">
        <v>18</v>
      </c>
      <c r="H6" s="20" t="s">
        <v>15</v>
      </c>
      <c r="I6" s="22">
        <f t="shared" ref="I6:I39" si="1">B6</f>
        <v>1</v>
      </c>
      <c r="J6" s="23" t="s">
        <v>19</v>
      </c>
      <c r="L6" s="2"/>
    </row>
    <row r="7" ht="102.0" customHeight="1">
      <c r="A7" s="17">
        <v>46123.0</v>
      </c>
      <c r="B7" s="18">
        <v>2.0</v>
      </c>
      <c r="C7" s="19" t="s">
        <v>14</v>
      </c>
      <c r="D7" s="24">
        <v>45844.0</v>
      </c>
      <c r="E7" s="21" t="s">
        <v>20</v>
      </c>
      <c r="F7" s="21" t="s">
        <v>21</v>
      </c>
      <c r="G7" s="21" t="s">
        <v>22</v>
      </c>
      <c r="H7" s="24">
        <v>45844.0</v>
      </c>
      <c r="I7" s="22">
        <f t="shared" si="1"/>
        <v>2</v>
      </c>
      <c r="J7" s="25" t="s">
        <v>23</v>
      </c>
      <c r="L7" s="2" t="s">
        <v>24</v>
      </c>
    </row>
    <row r="8" ht="81.0" customHeight="1">
      <c r="A8" s="17">
        <v>46127.0</v>
      </c>
      <c r="B8" s="18">
        <v>3.0</v>
      </c>
      <c r="C8" s="19" t="s">
        <v>14</v>
      </c>
      <c r="D8" s="26" t="s">
        <v>25</v>
      </c>
      <c r="E8" s="21" t="s">
        <v>26</v>
      </c>
      <c r="F8" s="27" t="s">
        <v>27</v>
      </c>
      <c r="G8" s="21" t="s">
        <v>28</v>
      </c>
      <c r="H8" s="26" t="s">
        <v>25</v>
      </c>
      <c r="I8" s="22">
        <f t="shared" si="1"/>
        <v>3</v>
      </c>
      <c r="J8" s="28" t="s">
        <v>29</v>
      </c>
      <c r="L8" s="2"/>
    </row>
    <row r="9" ht="87.0" customHeight="1">
      <c r="A9" s="17">
        <v>46130.0</v>
      </c>
      <c r="B9" s="18">
        <v>4.0</v>
      </c>
      <c r="C9" s="19" t="s">
        <v>14</v>
      </c>
      <c r="D9" s="29" t="s">
        <v>30</v>
      </c>
      <c r="E9" s="21" t="s">
        <v>31</v>
      </c>
      <c r="F9" s="21" t="s">
        <v>32</v>
      </c>
      <c r="G9" s="21" t="s">
        <v>33</v>
      </c>
      <c r="H9" s="30" t="s">
        <v>34</v>
      </c>
      <c r="I9" s="22">
        <f t="shared" si="1"/>
        <v>4</v>
      </c>
      <c r="J9" s="28" t="s">
        <v>35</v>
      </c>
      <c r="L9" s="2"/>
    </row>
    <row r="10" ht="72.0" customHeight="1">
      <c r="A10" s="17">
        <v>46134.0</v>
      </c>
      <c r="B10" s="18">
        <v>5.0</v>
      </c>
      <c r="C10" s="22" t="s">
        <v>36</v>
      </c>
      <c r="D10" s="20" t="s">
        <v>37</v>
      </c>
      <c r="E10" s="21" t="s">
        <v>38</v>
      </c>
      <c r="F10" s="21" t="s">
        <v>39</v>
      </c>
      <c r="G10" s="21" t="s">
        <v>40</v>
      </c>
      <c r="H10" s="20" t="s">
        <v>37</v>
      </c>
      <c r="I10" s="22">
        <f t="shared" si="1"/>
        <v>5</v>
      </c>
      <c r="J10" s="23" t="s">
        <v>19</v>
      </c>
      <c r="L10" s="2"/>
    </row>
    <row r="11" ht="75.75" customHeight="1">
      <c r="A11" s="17">
        <v>46141.0</v>
      </c>
      <c r="B11" s="18">
        <v>6.0</v>
      </c>
      <c r="C11" s="22" t="s">
        <v>36</v>
      </c>
      <c r="D11" s="31" t="s">
        <v>41</v>
      </c>
      <c r="E11" s="21" t="s">
        <v>42</v>
      </c>
      <c r="F11" s="21" t="s">
        <v>43</v>
      </c>
      <c r="G11" s="21" t="s">
        <v>44</v>
      </c>
      <c r="H11" s="18">
        <v>12.0</v>
      </c>
      <c r="I11" s="22">
        <f t="shared" si="1"/>
        <v>6</v>
      </c>
      <c r="J11" s="28" t="s">
        <v>45</v>
      </c>
      <c r="L11" s="2" t="s">
        <v>24</v>
      </c>
    </row>
    <row r="12" ht="60.75" customHeight="1">
      <c r="A12" s="17">
        <v>46148.0</v>
      </c>
      <c r="B12" s="18">
        <v>7.0</v>
      </c>
      <c r="C12" s="22" t="s">
        <v>36</v>
      </c>
      <c r="D12" s="32" t="s">
        <v>46</v>
      </c>
      <c r="E12" s="21" t="s">
        <v>47</v>
      </c>
      <c r="F12" s="21" t="s">
        <v>43</v>
      </c>
      <c r="G12" s="21" t="s">
        <v>44</v>
      </c>
      <c r="H12" s="18">
        <v>13.0</v>
      </c>
      <c r="I12" s="22">
        <f t="shared" si="1"/>
        <v>7</v>
      </c>
      <c r="J12" s="28" t="s">
        <v>48</v>
      </c>
      <c r="L12" s="2" t="s">
        <v>24</v>
      </c>
    </row>
    <row r="13" ht="76.5" customHeight="1">
      <c r="A13" s="17">
        <v>46151.0</v>
      </c>
      <c r="B13" s="18">
        <v>8.0</v>
      </c>
      <c r="C13" s="22" t="s">
        <v>36</v>
      </c>
      <c r="D13" s="20" t="s">
        <v>49</v>
      </c>
      <c r="E13" s="21" t="s">
        <v>50</v>
      </c>
      <c r="F13" s="27" t="s">
        <v>51</v>
      </c>
      <c r="G13" s="21" t="s">
        <v>52</v>
      </c>
      <c r="H13" s="31" t="s">
        <v>49</v>
      </c>
      <c r="I13" s="22">
        <f t="shared" si="1"/>
        <v>8</v>
      </c>
      <c r="J13" s="33" t="s">
        <v>53</v>
      </c>
      <c r="L13" s="2" t="s">
        <v>24</v>
      </c>
    </row>
    <row r="14" ht="61.5" customHeight="1">
      <c r="A14" s="17">
        <v>46155.0</v>
      </c>
      <c r="B14" s="18">
        <v>9.0</v>
      </c>
      <c r="C14" s="22" t="s">
        <v>36</v>
      </c>
      <c r="D14" s="20" t="s">
        <v>54</v>
      </c>
      <c r="E14" s="21" t="s">
        <v>55</v>
      </c>
      <c r="F14" s="27" t="s">
        <v>56</v>
      </c>
      <c r="G14" s="21" t="s">
        <v>57</v>
      </c>
      <c r="H14" s="18" t="s">
        <v>54</v>
      </c>
      <c r="I14" s="22">
        <f t="shared" si="1"/>
        <v>9</v>
      </c>
      <c r="J14" s="33" t="s">
        <v>58</v>
      </c>
      <c r="L14" s="2" t="s">
        <v>24</v>
      </c>
    </row>
    <row r="15" ht="83.25" customHeight="1">
      <c r="A15" s="17">
        <v>46158.0</v>
      </c>
      <c r="B15" s="18">
        <v>10.0</v>
      </c>
      <c r="C15" s="22" t="s">
        <v>36</v>
      </c>
      <c r="D15" s="34" t="s">
        <v>59</v>
      </c>
      <c r="E15" s="27" t="s">
        <v>60</v>
      </c>
      <c r="F15" s="21" t="s">
        <v>43</v>
      </c>
      <c r="G15" s="21" t="s">
        <v>61</v>
      </c>
      <c r="H15" s="30" t="s">
        <v>34</v>
      </c>
      <c r="I15" s="22">
        <f t="shared" si="1"/>
        <v>10</v>
      </c>
      <c r="J15" s="28" t="s">
        <v>62</v>
      </c>
      <c r="L15" s="2"/>
    </row>
    <row r="16" ht="75.0" customHeight="1">
      <c r="A16" s="17">
        <v>46162.0</v>
      </c>
      <c r="B16" s="18">
        <v>11.0</v>
      </c>
      <c r="C16" s="22" t="s">
        <v>63</v>
      </c>
      <c r="D16" s="18" t="s">
        <v>64</v>
      </c>
      <c r="E16" s="21" t="s">
        <v>65</v>
      </c>
      <c r="F16" s="21" t="s">
        <v>66</v>
      </c>
      <c r="G16" s="21" t="s">
        <v>67</v>
      </c>
      <c r="H16" s="18" t="s">
        <v>64</v>
      </c>
      <c r="I16" s="22">
        <f t="shared" si="1"/>
        <v>11</v>
      </c>
      <c r="J16" s="28" t="s">
        <v>68</v>
      </c>
      <c r="L16" s="2"/>
    </row>
    <row r="17" ht="73.5" customHeight="1">
      <c r="A17" s="17">
        <v>46165.0</v>
      </c>
      <c r="B17" s="18">
        <v>12.0</v>
      </c>
      <c r="C17" s="22" t="s">
        <v>63</v>
      </c>
      <c r="D17" s="18" t="s">
        <v>69</v>
      </c>
      <c r="E17" s="21" t="s">
        <v>70</v>
      </c>
      <c r="F17" s="21" t="s">
        <v>71</v>
      </c>
      <c r="G17" s="21" t="s">
        <v>72</v>
      </c>
      <c r="H17" s="18">
        <v>20.0</v>
      </c>
      <c r="I17" s="22">
        <f t="shared" si="1"/>
        <v>12</v>
      </c>
      <c r="J17" s="28" t="s">
        <v>48</v>
      </c>
      <c r="L17" s="2" t="s">
        <v>24</v>
      </c>
    </row>
    <row r="18" ht="73.5" customHeight="1">
      <c r="A18" s="17">
        <v>46169.0</v>
      </c>
      <c r="B18" s="18">
        <v>13.0</v>
      </c>
      <c r="C18" s="22" t="s">
        <v>63</v>
      </c>
      <c r="D18" s="32" t="s">
        <v>73</v>
      </c>
      <c r="E18" s="21" t="s">
        <v>74</v>
      </c>
      <c r="F18" s="21" t="s">
        <v>71</v>
      </c>
      <c r="G18" s="21" t="s">
        <v>72</v>
      </c>
      <c r="H18" s="18">
        <v>21.0</v>
      </c>
      <c r="I18" s="22">
        <f t="shared" si="1"/>
        <v>13</v>
      </c>
      <c r="J18" s="28" t="s">
        <v>53</v>
      </c>
      <c r="L18" s="2" t="s">
        <v>24</v>
      </c>
    </row>
    <row r="19" ht="96.0" customHeight="1">
      <c r="A19" s="17">
        <v>46172.0</v>
      </c>
      <c r="B19" s="18">
        <v>14.0</v>
      </c>
      <c r="C19" s="22" t="s">
        <v>63</v>
      </c>
      <c r="D19" s="18" t="s">
        <v>75</v>
      </c>
      <c r="E19" s="21" t="s">
        <v>76</v>
      </c>
      <c r="F19" s="27" t="s">
        <v>77</v>
      </c>
      <c r="G19" s="21" t="s">
        <v>78</v>
      </c>
      <c r="H19" s="18" t="s">
        <v>75</v>
      </c>
      <c r="I19" s="22">
        <f t="shared" si="1"/>
        <v>14</v>
      </c>
      <c r="J19" s="28" t="s">
        <v>79</v>
      </c>
      <c r="L19" s="2" t="s">
        <v>24</v>
      </c>
    </row>
    <row r="20" ht="72.0" customHeight="1">
      <c r="A20" s="35">
        <v>46176.0</v>
      </c>
      <c r="B20" s="18">
        <v>15.0</v>
      </c>
      <c r="C20" s="22" t="s">
        <v>63</v>
      </c>
      <c r="D20" s="20" t="s">
        <v>80</v>
      </c>
      <c r="E20" s="21" t="s">
        <v>81</v>
      </c>
      <c r="F20" s="27" t="s">
        <v>82</v>
      </c>
      <c r="G20" s="21" t="s">
        <v>83</v>
      </c>
      <c r="H20" s="18" t="s">
        <v>80</v>
      </c>
      <c r="I20" s="22">
        <f t="shared" si="1"/>
        <v>15</v>
      </c>
      <c r="J20" s="28" t="s">
        <v>58</v>
      </c>
      <c r="L20" s="2"/>
    </row>
    <row r="21" ht="75.75" customHeight="1">
      <c r="A21" s="35">
        <v>46179.0</v>
      </c>
      <c r="B21" s="18">
        <v>16.0</v>
      </c>
      <c r="C21" s="22" t="s">
        <v>63</v>
      </c>
      <c r="D21" s="34" t="s">
        <v>59</v>
      </c>
      <c r="E21" s="27" t="s">
        <v>84</v>
      </c>
      <c r="F21" s="21" t="s">
        <v>71</v>
      </c>
      <c r="G21" s="21" t="s">
        <v>85</v>
      </c>
      <c r="H21" s="30" t="s">
        <v>34</v>
      </c>
      <c r="I21" s="22">
        <f t="shared" si="1"/>
        <v>16</v>
      </c>
      <c r="J21" s="28" t="s">
        <v>62</v>
      </c>
      <c r="L21" s="2"/>
    </row>
    <row r="22" ht="85.5" customHeight="1">
      <c r="A22" s="35">
        <v>46183.0</v>
      </c>
      <c r="B22" s="18">
        <v>17.0</v>
      </c>
      <c r="C22" s="22" t="s">
        <v>86</v>
      </c>
      <c r="D22" s="18" t="s">
        <v>87</v>
      </c>
      <c r="E22" s="21" t="s">
        <v>88</v>
      </c>
      <c r="F22" s="21" t="s">
        <v>89</v>
      </c>
      <c r="G22" s="21" t="s">
        <v>90</v>
      </c>
      <c r="H22" s="22" t="s">
        <v>87</v>
      </c>
      <c r="I22" s="22">
        <f t="shared" si="1"/>
        <v>17</v>
      </c>
      <c r="J22" s="28" t="s">
        <v>91</v>
      </c>
      <c r="L22" s="2"/>
    </row>
    <row r="23" ht="85.5" customHeight="1">
      <c r="A23" s="35">
        <v>46186.0</v>
      </c>
      <c r="B23" s="18">
        <v>18.0</v>
      </c>
      <c r="C23" s="22" t="s">
        <v>86</v>
      </c>
      <c r="D23" s="18" t="s">
        <v>92</v>
      </c>
      <c r="E23" s="27" t="s">
        <v>93</v>
      </c>
      <c r="F23" s="21" t="s">
        <v>94</v>
      </c>
      <c r="G23" s="21" t="s">
        <v>95</v>
      </c>
      <c r="H23" s="22">
        <v>30.0</v>
      </c>
      <c r="I23" s="22">
        <f t="shared" si="1"/>
        <v>18</v>
      </c>
      <c r="J23" s="28" t="s">
        <v>45</v>
      </c>
      <c r="L23" s="2" t="s">
        <v>24</v>
      </c>
    </row>
    <row r="24" ht="85.5" customHeight="1">
      <c r="A24" s="35">
        <v>46190.0</v>
      </c>
      <c r="B24" s="18">
        <v>19.0</v>
      </c>
      <c r="C24" s="22" t="s">
        <v>86</v>
      </c>
      <c r="D24" s="32" t="s">
        <v>96</v>
      </c>
      <c r="E24" s="21" t="s">
        <v>97</v>
      </c>
      <c r="F24" s="21" t="s">
        <v>94</v>
      </c>
      <c r="G24" s="21" t="s">
        <v>95</v>
      </c>
      <c r="H24" s="22">
        <v>31.0</v>
      </c>
      <c r="I24" s="22">
        <f t="shared" si="1"/>
        <v>19</v>
      </c>
      <c r="J24" s="28" t="s">
        <v>98</v>
      </c>
      <c r="L24" s="2" t="s">
        <v>24</v>
      </c>
    </row>
    <row r="25" ht="72.75" customHeight="1">
      <c r="A25" s="35">
        <v>46193.0</v>
      </c>
      <c r="B25" s="18">
        <v>20.0</v>
      </c>
      <c r="C25" s="22" t="s">
        <v>86</v>
      </c>
      <c r="D25" s="18" t="s">
        <v>99</v>
      </c>
      <c r="E25" s="21" t="s">
        <v>100</v>
      </c>
      <c r="F25" s="27" t="s">
        <v>101</v>
      </c>
      <c r="G25" s="21" t="s">
        <v>102</v>
      </c>
      <c r="H25" s="22" t="s">
        <v>99</v>
      </c>
      <c r="I25" s="22">
        <f t="shared" si="1"/>
        <v>20</v>
      </c>
      <c r="J25" s="28" t="s">
        <v>29</v>
      </c>
      <c r="L25" s="2" t="s">
        <v>24</v>
      </c>
    </row>
    <row r="26" ht="67.5" customHeight="1">
      <c r="A26" s="17"/>
      <c r="B26" s="18">
        <v>21.0</v>
      </c>
      <c r="C26" s="22" t="s">
        <v>86</v>
      </c>
      <c r="D26" s="18" t="s">
        <v>103</v>
      </c>
      <c r="E26" s="21" t="s">
        <v>104</v>
      </c>
      <c r="F26" s="27" t="s">
        <v>105</v>
      </c>
      <c r="G26" s="21" t="s">
        <v>106</v>
      </c>
      <c r="H26" s="22" t="s">
        <v>103</v>
      </c>
      <c r="I26" s="22">
        <f t="shared" si="1"/>
        <v>21</v>
      </c>
      <c r="J26" s="28" t="s">
        <v>107</v>
      </c>
      <c r="L26" s="2" t="s">
        <v>24</v>
      </c>
    </row>
    <row r="27" ht="85.5" customHeight="1">
      <c r="A27" s="17"/>
      <c r="B27" s="18">
        <v>22.0</v>
      </c>
      <c r="C27" s="22" t="s">
        <v>86</v>
      </c>
      <c r="D27" s="34" t="s">
        <v>59</v>
      </c>
      <c r="E27" s="27" t="s">
        <v>108</v>
      </c>
      <c r="F27" s="21" t="s">
        <v>89</v>
      </c>
      <c r="G27" s="21" t="s">
        <v>109</v>
      </c>
      <c r="H27" s="30" t="s">
        <v>34</v>
      </c>
      <c r="I27" s="22">
        <f t="shared" si="1"/>
        <v>22</v>
      </c>
      <c r="J27" s="28" t="s">
        <v>110</v>
      </c>
      <c r="L27" s="2"/>
    </row>
    <row r="28" ht="85.5" customHeight="1">
      <c r="A28" s="35">
        <v>46204.0</v>
      </c>
      <c r="B28" s="18">
        <v>23.0</v>
      </c>
      <c r="C28" s="22" t="s">
        <v>111</v>
      </c>
      <c r="D28" s="18" t="s">
        <v>112</v>
      </c>
      <c r="E28" s="21" t="s">
        <v>113</v>
      </c>
      <c r="F28" s="21" t="s">
        <v>114</v>
      </c>
      <c r="G28" s="21" t="s">
        <v>115</v>
      </c>
      <c r="H28" s="22" t="s">
        <v>112</v>
      </c>
      <c r="I28" s="22">
        <f t="shared" si="1"/>
        <v>23</v>
      </c>
      <c r="J28" s="25" t="s">
        <v>19</v>
      </c>
      <c r="L28" s="2"/>
    </row>
    <row r="29" ht="85.5" customHeight="1">
      <c r="A29" s="35">
        <v>46207.0</v>
      </c>
      <c r="B29" s="18">
        <v>24.0</v>
      </c>
      <c r="C29" s="22" t="s">
        <v>111</v>
      </c>
      <c r="D29" s="18" t="s">
        <v>116</v>
      </c>
      <c r="E29" s="21" t="s">
        <v>117</v>
      </c>
      <c r="F29" s="21" t="s">
        <v>118</v>
      </c>
      <c r="G29" s="21" t="s">
        <v>119</v>
      </c>
      <c r="H29" s="22">
        <v>38.0</v>
      </c>
      <c r="I29" s="22">
        <f t="shared" si="1"/>
        <v>24</v>
      </c>
      <c r="J29" s="25" t="s">
        <v>23</v>
      </c>
      <c r="L29" s="2" t="s">
        <v>24</v>
      </c>
    </row>
    <row r="30" ht="85.5" customHeight="1">
      <c r="A30" s="35">
        <v>46211.0</v>
      </c>
      <c r="B30" s="18">
        <v>25.0</v>
      </c>
      <c r="C30" s="22" t="s">
        <v>111</v>
      </c>
      <c r="D30" s="32" t="s">
        <v>120</v>
      </c>
      <c r="E30" s="21" t="s">
        <v>121</v>
      </c>
      <c r="F30" s="21" t="s">
        <v>118</v>
      </c>
      <c r="G30" s="21" t="s">
        <v>119</v>
      </c>
      <c r="H30" s="22">
        <v>39.0</v>
      </c>
      <c r="I30" s="22">
        <f t="shared" si="1"/>
        <v>25</v>
      </c>
      <c r="J30" s="25" t="s">
        <v>122</v>
      </c>
      <c r="L30" s="2" t="s">
        <v>24</v>
      </c>
    </row>
    <row r="31" ht="85.5" customHeight="1">
      <c r="A31" s="35">
        <v>46214.0</v>
      </c>
      <c r="B31" s="18">
        <v>26.0</v>
      </c>
      <c r="C31" s="22" t="s">
        <v>111</v>
      </c>
      <c r="D31" s="18" t="s">
        <v>123</v>
      </c>
      <c r="E31" s="21" t="s">
        <v>124</v>
      </c>
      <c r="F31" s="27" t="s">
        <v>125</v>
      </c>
      <c r="G31" s="21" t="s">
        <v>126</v>
      </c>
      <c r="H31" s="22" t="s">
        <v>123</v>
      </c>
      <c r="I31" s="22">
        <f t="shared" si="1"/>
        <v>26</v>
      </c>
      <c r="J31" s="25" t="s">
        <v>127</v>
      </c>
      <c r="L31" s="2" t="s">
        <v>24</v>
      </c>
    </row>
    <row r="32" ht="69.0" customHeight="1">
      <c r="A32" s="35">
        <v>46218.0</v>
      </c>
      <c r="B32" s="18">
        <v>27.0</v>
      </c>
      <c r="C32" s="22" t="s">
        <v>111</v>
      </c>
      <c r="D32" s="18" t="s">
        <v>128</v>
      </c>
      <c r="E32" s="21" t="s">
        <v>129</v>
      </c>
      <c r="F32" s="27" t="s">
        <v>130</v>
      </c>
      <c r="G32" s="21" t="s">
        <v>131</v>
      </c>
      <c r="H32" s="22" t="s">
        <v>128</v>
      </c>
      <c r="I32" s="22">
        <f t="shared" si="1"/>
        <v>27</v>
      </c>
      <c r="J32" s="25" t="s">
        <v>132</v>
      </c>
      <c r="L32" s="2" t="s">
        <v>24</v>
      </c>
    </row>
    <row r="33" ht="85.5" customHeight="1">
      <c r="A33" s="35">
        <v>46221.0</v>
      </c>
      <c r="B33" s="18">
        <v>28.0</v>
      </c>
      <c r="C33" s="22" t="s">
        <v>111</v>
      </c>
      <c r="D33" s="34" t="s">
        <v>59</v>
      </c>
      <c r="E33" s="27" t="s">
        <v>133</v>
      </c>
      <c r="F33" s="21" t="s">
        <v>134</v>
      </c>
      <c r="G33" s="21" t="s">
        <v>135</v>
      </c>
      <c r="H33" s="30" t="s">
        <v>34</v>
      </c>
      <c r="I33" s="22">
        <f t="shared" si="1"/>
        <v>28</v>
      </c>
      <c r="J33" s="25" t="s">
        <v>136</v>
      </c>
      <c r="L33" s="2"/>
    </row>
    <row r="34" ht="85.5" customHeight="1">
      <c r="A34" s="35">
        <v>46225.0</v>
      </c>
      <c r="B34" s="18">
        <v>29.0</v>
      </c>
      <c r="C34" s="22" t="s">
        <v>137</v>
      </c>
      <c r="D34" s="31" t="s">
        <v>138</v>
      </c>
      <c r="E34" s="21" t="s">
        <v>139</v>
      </c>
      <c r="F34" s="21" t="s">
        <v>43</v>
      </c>
      <c r="G34" s="27" t="s">
        <v>140</v>
      </c>
      <c r="H34" s="30" t="s">
        <v>34</v>
      </c>
      <c r="I34" s="22">
        <f t="shared" si="1"/>
        <v>29</v>
      </c>
      <c r="J34" s="25" t="s">
        <v>141</v>
      </c>
      <c r="L34" s="2"/>
    </row>
    <row r="35" ht="85.5" customHeight="1">
      <c r="A35" s="35">
        <v>46228.0</v>
      </c>
      <c r="B35" s="18">
        <v>30.0</v>
      </c>
      <c r="C35" s="22" t="s">
        <v>142</v>
      </c>
      <c r="D35" s="31" t="s">
        <v>143</v>
      </c>
      <c r="E35" s="21" t="s">
        <v>144</v>
      </c>
      <c r="F35" s="21" t="s">
        <v>71</v>
      </c>
      <c r="G35" s="27" t="s">
        <v>140</v>
      </c>
      <c r="H35" s="30" t="s">
        <v>34</v>
      </c>
      <c r="I35" s="22">
        <f t="shared" si="1"/>
        <v>30</v>
      </c>
      <c r="J35" s="25" t="s">
        <v>145</v>
      </c>
      <c r="L35" s="2"/>
    </row>
    <row r="36" ht="85.5" customHeight="1">
      <c r="A36" s="35">
        <v>46232.0</v>
      </c>
      <c r="B36" s="18">
        <v>31.0</v>
      </c>
      <c r="C36" s="22" t="s">
        <v>146</v>
      </c>
      <c r="D36" s="36" t="s">
        <v>147</v>
      </c>
      <c r="E36" s="21" t="s">
        <v>148</v>
      </c>
      <c r="F36" s="21" t="s">
        <v>89</v>
      </c>
      <c r="G36" s="27" t="s">
        <v>140</v>
      </c>
      <c r="H36" s="30" t="s">
        <v>34</v>
      </c>
      <c r="I36" s="22">
        <f t="shared" si="1"/>
        <v>31</v>
      </c>
      <c r="J36" s="25" t="s">
        <v>149</v>
      </c>
      <c r="L36" s="2"/>
    </row>
    <row r="37" ht="77.25" customHeight="1">
      <c r="A37" s="35">
        <v>46235.0</v>
      </c>
      <c r="B37" s="18">
        <v>32.0</v>
      </c>
      <c r="C37" s="22" t="s">
        <v>150</v>
      </c>
      <c r="D37" s="18" t="s">
        <v>151</v>
      </c>
      <c r="E37" s="21" t="s">
        <v>152</v>
      </c>
      <c r="F37" s="21" t="s">
        <v>134</v>
      </c>
      <c r="G37" s="27" t="s">
        <v>140</v>
      </c>
      <c r="H37" s="30" t="s">
        <v>34</v>
      </c>
      <c r="I37" s="22">
        <f t="shared" si="1"/>
        <v>32</v>
      </c>
      <c r="J37" s="25" t="s">
        <v>153</v>
      </c>
      <c r="L37" s="2"/>
    </row>
    <row r="38" ht="45.75" customHeight="1">
      <c r="A38" s="17"/>
      <c r="B38" s="18">
        <v>33.0</v>
      </c>
      <c r="C38" s="22" t="s">
        <v>154</v>
      </c>
      <c r="D38" s="37"/>
      <c r="E38" s="38" t="s">
        <v>155</v>
      </c>
      <c r="F38" s="11"/>
      <c r="G38" s="39" t="s">
        <v>156</v>
      </c>
      <c r="H38" s="30" t="s">
        <v>34</v>
      </c>
      <c r="I38" s="22">
        <f t="shared" si="1"/>
        <v>33</v>
      </c>
      <c r="J38" s="40"/>
      <c r="L38" s="2"/>
    </row>
    <row r="39" ht="45.0" customHeight="1">
      <c r="A39" s="17"/>
      <c r="B39" s="18">
        <v>34.0</v>
      </c>
      <c r="C39" s="22" t="s">
        <v>154</v>
      </c>
      <c r="D39" s="37"/>
      <c r="E39" s="38" t="s">
        <v>157</v>
      </c>
      <c r="F39" s="11"/>
      <c r="G39" s="39" t="s">
        <v>158</v>
      </c>
      <c r="H39" s="30" t="s">
        <v>34</v>
      </c>
      <c r="I39" s="22">
        <f t="shared" si="1"/>
        <v>34</v>
      </c>
      <c r="J39" s="40"/>
      <c r="K39" s="41"/>
      <c r="L39" s="42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44.25" customHeight="1">
      <c r="A40" s="17"/>
      <c r="B40" s="18">
        <v>35.0</v>
      </c>
      <c r="C40" s="43" t="s">
        <v>159</v>
      </c>
      <c r="D40" s="44" t="s">
        <v>160</v>
      </c>
      <c r="E40" s="38" t="s">
        <v>161</v>
      </c>
      <c r="F40" s="11"/>
      <c r="G40" s="45" t="s">
        <v>162</v>
      </c>
      <c r="H40" s="30" t="s">
        <v>34</v>
      </c>
      <c r="I40" s="30" t="s">
        <v>34</v>
      </c>
      <c r="J40" s="40"/>
      <c r="L40" s="2"/>
    </row>
    <row r="41" ht="39.75" customHeight="1">
      <c r="A41" s="17"/>
      <c r="B41" s="18">
        <v>36.0</v>
      </c>
      <c r="C41" s="43" t="s">
        <v>159</v>
      </c>
      <c r="D41" s="46"/>
      <c r="E41" s="38" t="s">
        <v>163</v>
      </c>
      <c r="F41" s="11"/>
      <c r="G41" s="45" t="s">
        <v>162</v>
      </c>
      <c r="H41" s="30" t="s">
        <v>34</v>
      </c>
      <c r="I41" s="30" t="s">
        <v>34</v>
      </c>
      <c r="J41" s="40"/>
      <c r="L41" s="2"/>
    </row>
    <row r="42" ht="45.0" customHeight="1">
      <c r="A42" s="47" t="s">
        <v>164</v>
      </c>
      <c r="I42" s="48"/>
      <c r="J42" s="49"/>
      <c r="K42" s="15"/>
      <c r="L42" s="16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65.25" customHeight="1">
      <c r="A43" s="17"/>
      <c r="B43" s="18">
        <v>37.0</v>
      </c>
      <c r="C43" s="22" t="s">
        <v>165</v>
      </c>
      <c r="D43" s="18" t="s">
        <v>166</v>
      </c>
      <c r="E43" s="21" t="s">
        <v>167</v>
      </c>
      <c r="F43" s="27" t="s">
        <v>168</v>
      </c>
      <c r="G43" s="21" t="s">
        <v>169</v>
      </c>
      <c r="H43" s="22" t="s">
        <v>166</v>
      </c>
      <c r="I43" s="22">
        <f t="shared" ref="I43:I76" si="2">B43</f>
        <v>37</v>
      </c>
      <c r="J43" s="28" t="s">
        <v>170</v>
      </c>
      <c r="L43" s="2"/>
    </row>
    <row r="44" ht="58.5" customHeight="1">
      <c r="A44" s="17"/>
      <c r="B44" s="18">
        <v>38.0</v>
      </c>
      <c r="C44" s="22" t="s">
        <v>165</v>
      </c>
      <c r="D44" s="18" t="s">
        <v>171</v>
      </c>
      <c r="E44" s="21" t="s">
        <v>172</v>
      </c>
      <c r="F44" s="27" t="s">
        <v>173</v>
      </c>
      <c r="G44" s="21" t="s">
        <v>174</v>
      </c>
      <c r="H44" s="22">
        <v>48.0</v>
      </c>
      <c r="I44" s="22">
        <f t="shared" si="2"/>
        <v>38</v>
      </c>
      <c r="J44" s="28" t="s">
        <v>45</v>
      </c>
      <c r="L44" s="2" t="s">
        <v>24</v>
      </c>
    </row>
    <row r="45" ht="66.75" customHeight="1">
      <c r="A45" s="17"/>
      <c r="B45" s="18">
        <v>39.0</v>
      </c>
      <c r="C45" s="22" t="s">
        <v>165</v>
      </c>
      <c r="D45" s="32" t="s">
        <v>175</v>
      </c>
      <c r="E45" s="21" t="s">
        <v>176</v>
      </c>
      <c r="F45" s="27" t="s">
        <v>173</v>
      </c>
      <c r="G45" s="21" t="s">
        <v>174</v>
      </c>
      <c r="H45" s="22">
        <v>49.0</v>
      </c>
      <c r="I45" s="22">
        <f t="shared" si="2"/>
        <v>39</v>
      </c>
      <c r="J45" s="28" t="s">
        <v>177</v>
      </c>
      <c r="L45" s="2" t="s">
        <v>24</v>
      </c>
    </row>
    <row r="46" ht="64.5" customHeight="1">
      <c r="A46" s="17"/>
      <c r="B46" s="18">
        <v>40.0</v>
      </c>
      <c r="C46" s="22" t="s">
        <v>165</v>
      </c>
      <c r="D46" s="18" t="s">
        <v>178</v>
      </c>
      <c r="E46" s="21" t="s">
        <v>179</v>
      </c>
      <c r="F46" s="27" t="s">
        <v>180</v>
      </c>
      <c r="G46" s="21" t="s">
        <v>181</v>
      </c>
      <c r="H46" s="22" t="s">
        <v>178</v>
      </c>
      <c r="I46" s="22">
        <f t="shared" si="2"/>
        <v>40</v>
      </c>
      <c r="J46" s="28" t="s">
        <v>29</v>
      </c>
      <c r="L46" s="2" t="s">
        <v>24</v>
      </c>
    </row>
    <row r="47" ht="75.75" customHeight="1">
      <c r="A47" s="17"/>
      <c r="B47" s="18">
        <v>41.0</v>
      </c>
      <c r="C47" s="22" t="s">
        <v>165</v>
      </c>
      <c r="D47" s="18" t="s">
        <v>182</v>
      </c>
      <c r="E47" s="21" t="s">
        <v>183</v>
      </c>
      <c r="F47" s="27" t="s">
        <v>184</v>
      </c>
      <c r="G47" s="21" t="s">
        <v>185</v>
      </c>
      <c r="H47" s="22" t="s">
        <v>182</v>
      </c>
      <c r="I47" s="22">
        <f t="shared" si="2"/>
        <v>41</v>
      </c>
      <c r="J47" s="28" t="s">
        <v>186</v>
      </c>
      <c r="L47" s="2" t="s">
        <v>24</v>
      </c>
    </row>
    <row r="48" ht="63.75" customHeight="1">
      <c r="A48" s="17"/>
      <c r="B48" s="18">
        <v>42.0</v>
      </c>
      <c r="C48" s="22" t="s">
        <v>165</v>
      </c>
      <c r="D48" s="34" t="s">
        <v>59</v>
      </c>
      <c r="E48" s="27" t="s">
        <v>187</v>
      </c>
      <c r="F48" s="27" t="s">
        <v>168</v>
      </c>
      <c r="G48" s="21" t="s">
        <v>188</v>
      </c>
      <c r="H48" s="30" t="s">
        <v>34</v>
      </c>
      <c r="I48" s="22">
        <f t="shared" si="2"/>
        <v>42</v>
      </c>
      <c r="J48" s="28" t="s">
        <v>110</v>
      </c>
      <c r="L48" s="2"/>
    </row>
    <row r="49" ht="49.5" customHeight="1">
      <c r="A49" s="17"/>
      <c r="B49" s="18">
        <v>43.0</v>
      </c>
      <c r="C49" s="50" t="s">
        <v>189</v>
      </c>
      <c r="D49" s="51">
        <v>44869.0</v>
      </c>
      <c r="E49" s="27" t="s">
        <v>190</v>
      </c>
      <c r="F49" s="52"/>
      <c r="G49" s="53" t="s">
        <v>191</v>
      </c>
      <c r="H49" s="30" t="s">
        <v>34</v>
      </c>
      <c r="I49" s="22">
        <f t="shared" si="2"/>
        <v>43</v>
      </c>
      <c r="J49" s="54"/>
      <c r="L49" s="2"/>
    </row>
    <row r="50" ht="67.5" customHeight="1">
      <c r="A50" s="17"/>
      <c r="B50" s="18">
        <v>44.0</v>
      </c>
      <c r="C50" s="22" t="s">
        <v>192</v>
      </c>
      <c r="D50" s="18" t="s">
        <v>193</v>
      </c>
      <c r="E50" s="21" t="s">
        <v>194</v>
      </c>
      <c r="F50" s="27" t="s">
        <v>195</v>
      </c>
      <c r="G50" s="21" t="s">
        <v>196</v>
      </c>
      <c r="H50" s="22" t="s">
        <v>193</v>
      </c>
      <c r="I50" s="22">
        <f t="shared" si="2"/>
        <v>44</v>
      </c>
      <c r="J50" s="28" t="s">
        <v>197</v>
      </c>
      <c r="L50" s="2"/>
    </row>
    <row r="51" ht="102.75" customHeight="1">
      <c r="A51" s="17"/>
      <c r="B51" s="18">
        <v>45.0</v>
      </c>
      <c r="C51" s="22" t="s">
        <v>192</v>
      </c>
      <c r="D51" s="18" t="s">
        <v>198</v>
      </c>
      <c r="E51" s="21" t="s">
        <v>199</v>
      </c>
      <c r="F51" s="21" t="s">
        <v>200</v>
      </c>
      <c r="G51" s="21" t="s">
        <v>201</v>
      </c>
      <c r="H51" s="22">
        <v>56.0</v>
      </c>
      <c r="I51" s="22">
        <f t="shared" si="2"/>
        <v>45</v>
      </c>
      <c r="J51" s="28" t="s">
        <v>45</v>
      </c>
      <c r="L51" s="2" t="s">
        <v>24</v>
      </c>
    </row>
    <row r="52" ht="102.75" customHeight="1">
      <c r="A52" s="17"/>
      <c r="B52" s="18">
        <v>46.0</v>
      </c>
      <c r="C52" s="22" t="s">
        <v>192</v>
      </c>
      <c r="D52" s="32" t="s">
        <v>202</v>
      </c>
      <c r="E52" s="21" t="s">
        <v>203</v>
      </c>
      <c r="F52" s="21" t="s">
        <v>200</v>
      </c>
      <c r="G52" s="21" t="s">
        <v>201</v>
      </c>
      <c r="H52" s="22">
        <v>57.0</v>
      </c>
      <c r="I52" s="22">
        <f t="shared" si="2"/>
        <v>46</v>
      </c>
      <c r="J52" s="28" t="s">
        <v>53</v>
      </c>
      <c r="L52" s="2" t="s">
        <v>24</v>
      </c>
    </row>
    <row r="53" ht="67.5" customHeight="1">
      <c r="A53" s="17"/>
      <c r="B53" s="18">
        <v>47.0</v>
      </c>
      <c r="C53" s="22" t="s">
        <v>192</v>
      </c>
      <c r="D53" s="18" t="s">
        <v>204</v>
      </c>
      <c r="E53" s="21" t="s">
        <v>205</v>
      </c>
      <c r="F53" s="27" t="s">
        <v>206</v>
      </c>
      <c r="G53" s="21" t="s">
        <v>207</v>
      </c>
      <c r="H53" s="22" t="s">
        <v>204</v>
      </c>
      <c r="I53" s="22">
        <f t="shared" si="2"/>
        <v>47</v>
      </c>
      <c r="J53" s="28" t="s">
        <v>29</v>
      </c>
      <c r="L53" s="2" t="s">
        <v>24</v>
      </c>
    </row>
    <row r="54" ht="51.0" customHeight="1">
      <c r="A54" s="17"/>
      <c r="B54" s="18">
        <v>48.0</v>
      </c>
      <c r="C54" s="22" t="s">
        <v>192</v>
      </c>
      <c r="D54" s="18" t="s">
        <v>208</v>
      </c>
      <c r="E54" s="27" t="s">
        <v>209</v>
      </c>
      <c r="F54" s="27" t="s">
        <v>210</v>
      </c>
      <c r="G54" s="21" t="s">
        <v>211</v>
      </c>
      <c r="H54" s="22" t="s">
        <v>208</v>
      </c>
      <c r="I54" s="22">
        <f t="shared" si="2"/>
        <v>48</v>
      </c>
      <c r="J54" s="28" t="s">
        <v>186</v>
      </c>
      <c r="L54" s="2" t="s">
        <v>24</v>
      </c>
    </row>
    <row r="55" ht="81.0" customHeight="1">
      <c r="A55" s="17"/>
      <c r="B55" s="18">
        <v>49.0</v>
      </c>
      <c r="C55" s="22" t="s">
        <v>192</v>
      </c>
      <c r="D55" s="34" t="s">
        <v>59</v>
      </c>
      <c r="E55" s="27" t="s">
        <v>212</v>
      </c>
      <c r="F55" s="27" t="s">
        <v>195</v>
      </c>
      <c r="G55" s="21" t="s">
        <v>213</v>
      </c>
      <c r="H55" s="30" t="s">
        <v>34</v>
      </c>
      <c r="I55" s="22">
        <f t="shared" si="2"/>
        <v>49</v>
      </c>
      <c r="J55" s="28" t="s">
        <v>110</v>
      </c>
      <c r="L55" s="2"/>
    </row>
    <row r="56" ht="53.25" customHeight="1">
      <c r="A56" s="17"/>
      <c r="B56" s="18">
        <v>50.0</v>
      </c>
      <c r="C56" s="50" t="s">
        <v>189</v>
      </c>
      <c r="D56" s="18" t="s">
        <v>214</v>
      </c>
      <c r="E56" s="27" t="s">
        <v>215</v>
      </c>
      <c r="F56" s="52"/>
      <c r="G56" s="53" t="s">
        <v>191</v>
      </c>
      <c r="H56" s="30" t="s">
        <v>34</v>
      </c>
      <c r="I56" s="22">
        <f t="shared" si="2"/>
        <v>50</v>
      </c>
      <c r="J56" s="54"/>
      <c r="L56" s="2"/>
    </row>
    <row r="57" ht="69.75" customHeight="1">
      <c r="A57" s="17"/>
      <c r="B57" s="18">
        <v>51.0</v>
      </c>
      <c r="C57" s="22" t="s">
        <v>216</v>
      </c>
      <c r="D57" s="18" t="s">
        <v>217</v>
      </c>
      <c r="E57" s="21" t="s">
        <v>218</v>
      </c>
      <c r="F57" s="21" t="s">
        <v>219</v>
      </c>
      <c r="G57" s="21" t="s">
        <v>220</v>
      </c>
      <c r="H57" s="22" t="s">
        <v>217</v>
      </c>
      <c r="I57" s="22">
        <f t="shared" si="2"/>
        <v>51</v>
      </c>
      <c r="J57" s="28" t="s">
        <v>197</v>
      </c>
      <c r="L57" s="2"/>
    </row>
    <row r="58" ht="83.25" customHeight="1">
      <c r="A58" s="17"/>
      <c r="B58" s="18">
        <v>52.0</v>
      </c>
      <c r="C58" s="22" t="s">
        <v>216</v>
      </c>
      <c r="D58" s="18" t="s">
        <v>221</v>
      </c>
      <c r="E58" s="21" t="s">
        <v>222</v>
      </c>
      <c r="F58" s="21" t="s">
        <v>223</v>
      </c>
      <c r="G58" s="21" t="s">
        <v>224</v>
      </c>
      <c r="H58" s="22">
        <v>66.0</v>
      </c>
      <c r="I58" s="22">
        <f t="shared" si="2"/>
        <v>52</v>
      </c>
      <c r="J58" s="28" t="s">
        <v>45</v>
      </c>
      <c r="L58" s="2" t="s">
        <v>24</v>
      </c>
    </row>
    <row r="59" ht="83.25" customHeight="1">
      <c r="A59" s="17"/>
      <c r="B59" s="18">
        <v>53.0</v>
      </c>
      <c r="C59" s="22" t="s">
        <v>216</v>
      </c>
      <c r="D59" s="32" t="s">
        <v>225</v>
      </c>
      <c r="E59" s="21" t="s">
        <v>226</v>
      </c>
      <c r="F59" s="21" t="s">
        <v>223</v>
      </c>
      <c r="G59" s="21" t="s">
        <v>224</v>
      </c>
      <c r="H59" s="22">
        <v>67.0</v>
      </c>
      <c r="I59" s="22">
        <f t="shared" si="2"/>
        <v>53</v>
      </c>
      <c r="J59" s="28" t="s">
        <v>227</v>
      </c>
      <c r="L59" s="2" t="s">
        <v>24</v>
      </c>
    </row>
    <row r="60" ht="76.5" customHeight="1">
      <c r="A60" s="17"/>
      <c r="B60" s="18">
        <v>54.0</v>
      </c>
      <c r="C60" s="22" t="s">
        <v>216</v>
      </c>
      <c r="D60" s="18" t="s">
        <v>228</v>
      </c>
      <c r="E60" s="21" t="s">
        <v>229</v>
      </c>
      <c r="F60" s="27" t="s">
        <v>230</v>
      </c>
      <c r="G60" s="21" t="s">
        <v>231</v>
      </c>
      <c r="H60" s="22" t="s">
        <v>228</v>
      </c>
      <c r="I60" s="22">
        <f t="shared" si="2"/>
        <v>54</v>
      </c>
      <c r="J60" s="28" t="s">
        <v>29</v>
      </c>
      <c r="L60" s="2" t="s">
        <v>24</v>
      </c>
    </row>
    <row r="61" ht="47.25" customHeight="1">
      <c r="A61" s="17"/>
      <c r="B61" s="18">
        <v>55.0</v>
      </c>
      <c r="C61" s="22" t="s">
        <v>216</v>
      </c>
      <c r="D61" s="18" t="s">
        <v>232</v>
      </c>
      <c r="E61" s="21" t="s">
        <v>233</v>
      </c>
      <c r="F61" s="21" t="s">
        <v>234</v>
      </c>
      <c r="G61" s="21" t="s">
        <v>235</v>
      </c>
      <c r="H61" s="22" t="s">
        <v>232</v>
      </c>
      <c r="I61" s="22">
        <f t="shared" si="2"/>
        <v>55</v>
      </c>
      <c r="J61" s="28" t="s">
        <v>107</v>
      </c>
      <c r="L61" s="2"/>
    </row>
    <row r="62" ht="63.75" customHeight="1">
      <c r="A62" s="17"/>
      <c r="B62" s="18">
        <v>56.0</v>
      </c>
      <c r="C62" s="22" t="s">
        <v>216</v>
      </c>
      <c r="D62" s="34" t="s">
        <v>59</v>
      </c>
      <c r="E62" s="27" t="s">
        <v>236</v>
      </c>
      <c r="F62" s="21" t="s">
        <v>223</v>
      </c>
      <c r="G62" s="21" t="s">
        <v>237</v>
      </c>
      <c r="H62" s="30" t="s">
        <v>34</v>
      </c>
      <c r="I62" s="22">
        <f t="shared" si="2"/>
        <v>56</v>
      </c>
      <c r="J62" s="28" t="s">
        <v>110</v>
      </c>
      <c r="L62" s="2"/>
    </row>
    <row r="63" ht="63.75" customHeight="1">
      <c r="A63" s="17"/>
      <c r="B63" s="18">
        <v>57.0</v>
      </c>
      <c r="C63" s="50" t="s">
        <v>189</v>
      </c>
      <c r="D63" s="18" t="s">
        <v>151</v>
      </c>
      <c r="E63" s="27" t="s">
        <v>238</v>
      </c>
      <c r="F63" s="52"/>
      <c r="G63" s="27" t="s">
        <v>191</v>
      </c>
      <c r="H63" s="30" t="s">
        <v>34</v>
      </c>
      <c r="I63" s="22">
        <f t="shared" si="2"/>
        <v>57</v>
      </c>
      <c r="J63" s="54"/>
      <c r="L63" s="2"/>
    </row>
    <row r="64" ht="71.25" customHeight="1">
      <c r="A64" s="17"/>
      <c r="B64" s="18">
        <v>58.0</v>
      </c>
      <c r="C64" s="22" t="s">
        <v>239</v>
      </c>
      <c r="D64" s="18" t="s">
        <v>240</v>
      </c>
      <c r="E64" s="21" t="s">
        <v>241</v>
      </c>
      <c r="F64" s="27" t="s">
        <v>242</v>
      </c>
      <c r="G64" s="21" t="s">
        <v>243</v>
      </c>
      <c r="H64" s="22" t="s">
        <v>240</v>
      </c>
      <c r="I64" s="22">
        <f t="shared" si="2"/>
        <v>58</v>
      </c>
      <c r="J64" s="28" t="s">
        <v>170</v>
      </c>
      <c r="L64" s="2"/>
    </row>
    <row r="65" ht="95.25" customHeight="1">
      <c r="A65" s="17"/>
      <c r="B65" s="18">
        <v>59.0</v>
      </c>
      <c r="C65" s="22" t="s">
        <v>239</v>
      </c>
      <c r="D65" s="18" t="s">
        <v>244</v>
      </c>
      <c r="E65" s="21" t="s">
        <v>245</v>
      </c>
      <c r="F65" s="21" t="s">
        <v>246</v>
      </c>
      <c r="G65" s="21" t="s">
        <v>247</v>
      </c>
      <c r="H65" s="22">
        <v>74.0</v>
      </c>
      <c r="I65" s="22">
        <f t="shared" si="2"/>
        <v>59</v>
      </c>
      <c r="J65" s="28" t="s">
        <v>45</v>
      </c>
      <c r="L65" s="2"/>
    </row>
    <row r="66" ht="95.25" customHeight="1">
      <c r="A66" s="17"/>
      <c r="B66" s="18">
        <v>60.0</v>
      </c>
      <c r="C66" s="22" t="s">
        <v>239</v>
      </c>
      <c r="D66" s="32" t="s">
        <v>248</v>
      </c>
      <c r="E66" s="21" t="s">
        <v>249</v>
      </c>
      <c r="F66" s="21" t="s">
        <v>246</v>
      </c>
      <c r="G66" s="21" t="s">
        <v>247</v>
      </c>
      <c r="H66" s="22">
        <v>75.0</v>
      </c>
      <c r="I66" s="22">
        <f t="shared" si="2"/>
        <v>60</v>
      </c>
      <c r="J66" s="28" t="s">
        <v>177</v>
      </c>
      <c r="L66" s="2"/>
    </row>
    <row r="67" ht="69.0" customHeight="1">
      <c r="A67" s="17"/>
      <c r="B67" s="18">
        <v>61.0</v>
      </c>
      <c r="C67" s="22" t="s">
        <v>239</v>
      </c>
      <c r="D67" s="18" t="s">
        <v>250</v>
      </c>
      <c r="E67" s="21" t="s">
        <v>251</v>
      </c>
      <c r="F67" s="27" t="s">
        <v>252</v>
      </c>
      <c r="G67" s="21" t="s">
        <v>253</v>
      </c>
      <c r="H67" s="22" t="s">
        <v>250</v>
      </c>
      <c r="I67" s="22">
        <f t="shared" si="2"/>
        <v>61</v>
      </c>
      <c r="J67" s="28" t="s">
        <v>29</v>
      </c>
      <c r="L67" s="2" t="s">
        <v>24</v>
      </c>
    </row>
    <row r="68" ht="67.5" customHeight="1">
      <c r="A68" s="17"/>
      <c r="B68" s="18">
        <v>62.0</v>
      </c>
      <c r="C68" s="22" t="s">
        <v>239</v>
      </c>
      <c r="D68" s="18" t="s">
        <v>254</v>
      </c>
      <c r="E68" s="21" t="s">
        <v>255</v>
      </c>
      <c r="F68" s="27" t="s">
        <v>256</v>
      </c>
      <c r="G68" s="21" t="s">
        <v>257</v>
      </c>
      <c r="H68" s="22" t="s">
        <v>254</v>
      </c>
      <c r="I68" s="22">
        <f t="shared" si="2"/>
        <v>62</v>
      </c>
      <c r="J68" s="28" t="s">
        <v>186</v>
      </c>
      <c r="L68" s="2" t="s">
        <v>24</v>
      </c>
    </row>
    <row r="69" ht="61.5" customHeight="1">
      <c r="A69" s="17"/>
      <c r="B69" s="18">
        <v>63.0</v>
      </c>
      <c r="C69" s="22" t="s">
        <v>239</v>
      </c>
      <c r="D69" s="34" t="s">
        <v>59</v>
      </c>
      <c r="E69" s="27" t="s">
        <v>258</v>
      </c>
      <c r="F69" s="21" t="s">
        <v>246</v>
      </c>
      <c r="G69" s="21" t="s">
        <v>259</v>
      </c>
      <c r="H69" s="30" t="s">
        <v>34</v>
      </c>
      <c r="I69" s="22">
        <f t="shared" si="2"/>
        <v>63</v>
      </c>
      <c r="J69" s="28" t="s">
        <v>110</v>
      </c>
      <c r="L69" s="2"/>
    </row>
    <row r="70" ht="49.5" customHeight="1">
      <c r="A70" s="17"/>
      <c r="B70" s="18">
        <v>64.0</v>
      </c>
      <c r="C70" s="50" t="s">
        <v>189</v>
      </c>
      <c r="D70" s="18" t="s">
        <v>260</v>
      </c>
      <c r="E70" s="27" t="s">
        <v>261</v>
      </c>
      <c r="F70" s="52"/>
      <c r="G70" s="27" t="s">
        <v>191</v>
      </c>
      <c r="H70" s="30" t="s">
        <v>34</v>
      </c>
      <c r="I70" s="22">
        <f t="shared" si="2"/>
        <v>64</v>
      </c>
      <c r="J70" s="54"/>
      <c r="L70" s="2"/>
    </row>
    <row r="71" ht="72.75" customHeight="1">
      <c r="A71" s="17"/>
      <c r="B71" s="18">
        <v>65.0</v>
      </c>
      <c r="C71" s="55" t="s">
        <v>262</v>
      </c>
      <c r="D71" s="18" t="s">
        <v>263</v>
      </c>
      <c r="E71" s="21" t="s">
        <v>264</v>
      </c>
      <c r="F71" s="27" t="s">
        <v>168</v>
      </c>
      <c r="G71" s="27" t="s">
        <v>265</v>
      </c>
      <c r="H71" s="30" t="s">
        <v>34</v>
      </c>
      <c r="I71" s="22">
        <f t="shared" si="2"/>
        <v>65</v>
      </c>
      <c r="J71" s="28" t="s">
        <v>266</v>
      </c>
      <c r="L71" s="2"/>
    </row>
    <row r="72" ht="56.25" customHeight="1">
      <c r="A72" s="17"/>
      <c r="B72" s="18">
        <v>66.0</v>
      </c>
      <c r="C72" s="55" t="s">
        <v>267</v>
      </c>
      <c r="D72" s="18" t="s">
        <v>268</v>
      </c>
      <c r="E72" s="21" t="s">
        <v>269</v>
      </c>
      <c r="F72" s="27" t="s">
        <v>195</v>
      </c>
      <c r="G72" s="27" t="s">
        <v>265</v>
      </c>
      <c r="H72" s="30" t="s">
        <v>34</v>
      </c>
      <c r="I72" s="22">
        <f t="shared" si="2"/>
        <v>66</v>
      </c>
      <c r="J72" s="28" t="s">
        <v>270</v>
      </c>
      <c r="L72" s="2"/>
    </row>
    <row r="73" ht="70.5" customHeight="1">
      <c r="A73" s="17"/>
      <c r="B73" s="18">
        <v>67.0</v>
      </c>
      <c r="C73" s="55" t="s">
        <v>271</v>
      </c>
      <c r="D73" s="18" t="s">
        <v>272</v>
      </c>
      <c r="E73" s="21" t="s">
        <v>273</v>
      </c>
      <c r="F73" s="21" t="s">
        <v>223</v>
      </c>
      <c r="G73" s="27" t="s">
        <v>265</v>
      </c>
      <c r="H73" s="30" t="s">
        <v>34</v>
      </c>
      <c r="I73" s="22">
        <f t="shared" si="2"/>
        <v>67</v>
      </c>
      <c r="J73" s="28" t="s">
        <v>274</v>
      </c>
      <c r="L73" s="2"/>
    </row>
    <row r="74" ht="42.0" customHeight="1">
      <c r="A74" s="56"/>
      <c r="B74" s="18">
        <v>68.0</v>
      </c>
      <c r="C74" s="55" t="s">
        <v>275</v>
      </c>
      <c r="D74" s="18" t="s">
        <v>276</v>
      </c>
      <c r="E74" s="21" t="s">
        <v>277</v>
      </c>
      <c r="F74" s="21" t="s">
        <v>246</v>
      </c>
      <c r="G74" s="27" t="s">
        <v>265</v>
      </c>
      <c r="H74" s="30" t="s">
        <v>34</v>
      </c>
      <c r="I74" s="22">
        <f t="shared" si="2"/>
        <v>68</v>
      </c>
      <c r="J74" s="57"/>
      <c r="K74" s="15"/>
      <c r="L74" s="16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51.75" customHeight="1">
      <c r="A75" s="56"/>
      <c r="B75" s="18">
        <v>69.0</v>
      </c>
      <c r="C75" s="22" t="s">
        <v>154</v>
      </c>
      <c r="D75" s="58"/>
      <c r="E75" s="38" t="s">
        <v>278</v>
      </c>
      <c r="F75" s="11"/>
      <c r="G75" s="27" t="s">
        <v>156</v>
      </c>
      <c r="H75" s="30" t="s">
        <v>34</v>
      </c>
      <c r="I75" s="22">
        <f t="shared" si="2"/>
        <v>69</v>
      </c>
      <c r="J75" s="57"/>
      <c r="K75" s="15"/>
      <c r="L75" s="16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50.25" customHeight="1">
      <c r="A76" s="56"/>
      <c r="B76" s="18">
        <v>70.0</v>
      </c>
      <c r="C76" s="22" t="s">
        <v>154</v>
      </c>
      <c r="D76" s="58"/>
      <c r="E76" s="38" t="s">
        <v>279</v>
      </c>
      <c r="F76" s="11"/>
      <c r="G76" s="27" t="s">
        <v>158</v>
      </c>
      <c r="H76" s="30" t="s">
        <v>34</v>
      </c>
      <c r="I76" s="22">
        <f t="shared" si="2"/>
        <v>70</v>
      </c>
      <c r="J76" s="40"/>
      <c r="K76" s="15"/>
      <c r="L76" s="16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45.0" customHeight="1">
      <c r="A77" s="56"/>
      <c r="B77" s="18">
        <v>71.0</v>
      </c>
      <c r="C77" s="22" t="s">
        <v>159</v>
      </c>
      <c r="D77" s="59" t="s">
        <v>160</v>
      </c>
      <c r="E77" s="38" t="s">
        <v>280</v>
      </c>
      <c r="F77" s="11"/>
      <c r="G77" s="21" t="s">
        <v>162</v>
      </c>
      <c r="H77" s="30" t="s">
        <v>34</v>
      </c>
      <c r="I77" s="30" t="s">
        <v>34</v>
      </c>
      <c r="J77" s="40"/>
      <c r="K77" s="15"/>
      <c r="L77" s="16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33.0" customHeight="1">
      <c r="A78" s="56"/>
      <c r="B78" s="18">
        <v>72.0</v>
      </c>
      <c r="C78" s="22" t="s">
        <v>159</v>
      </c>
      <c r="D78" s="46"/>
      <c r="E78" s="38" t="s">
        <v>281</v>
      </c>
      <c r="F78" s="11"/>
      <c r="G78" s="21" t="s">
        <v>162</v>
      </c>
      <c r="H78" s="30" t="s">
        <v>34</v>
      </c>
      <c r="I78" s="30" t="s">
        <v>34</v>
      </c>
      <c r="J78" s="40"/>
      <c r="K78" s="15"/>
      <c r="L78" s="16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7.25" customHeight="1">
      <c r="L79" s="2"/>
    </row>
    <row r="80" ht="21.75" customHeight="1">
      <c r="L80" s="2"/>
    </row>
    <row r="81" ht="14.25" customHeight="1">
      <c r="L81" s="2"/>
    </row>
    <row r="82" ht="14.25" customHeight="1">
      <c r="L82" s="2"/>
    </row>
    <row r="83" ht="14.25" customHeight="1">
      <c r="I83" s="60"/>
      <c r="J83" s="60"/>
      <c r="L83" s="2"/>
    </row>
    <row r="84" ht="14.25" customHeight="1">
      <c r="A84" s="60"/>
      <c r="B84" s="60"/>
      <c r="C84" s="60"/>
      <c r="D84" s="60"/>
      <c r="I84" s="60"/>
      <c r="J84" s="60"/>
      <c r="L84" s="2"/>
    </row>
    <row r="85" ht="14.25" customHeight="1">
      <c r="A85" s="60"/>
      <c r="B85" s="60"/>
      <c r="C85" s="60"/>
      <c r="D85" s="60"/>
      <c r="I85" s="60"/>
      <c r="J85" s="60"/>
      <c r="L85" s="2"/>
    </row>
    <row r="86" ht="14.25" customHeight="1">
      <c r="A86" s="60"/>
      <c r="B86" s="60"/>
      <c r="C86" s="60"/>
      <c r="D86" s="60"/>
      <c r="I86" s="60"/>
      <c r="J86" s="60"/>
      <c r="L86" s="2"/>
    </row>
    <row r="87" ht="14.25" customHeight="1">
      <c r="A87" s="60"/>
      <c r="B87" s="60"/>
      <c r="C87" s="60"/>
      <c r="D87" s="60"/>
      <c r="I87" s="60"/>
      <c r="J87" s="60"/>
      <c r="L87" s="2"/>
    </row>
    <row r="88" ht="14.25" customHeight="1">
      <c r="A88" s="60"/>
      <c r="B88" s="60"/>
      <c r="C88" s="60"/>
      <c r="D88" s="60"/>
      <c r="I88" s="60"/>
      <c r="J88" s="60"/>
      <c r="L88" s="2"/>
    </row>
    <row r="89" ht="14.25" customHeight="1">
      <c r="A89" s="60"/>
      <c r="B89" s="60"/>
      <c r="C89" s="60"/>
      <c r="D89" s="60"/>
      <c r="I89" s="60"/>
      <c r="J89" s="60"/>
      <c r="L89" s="2"/>
    </row>
    <row r="90" ht="14.25" customHeight="1">
      <c r="A90" s="60"/>
      <c r="B90" s="60"/>
      <c r="C90" s="60"/>
      <c r="D90" s="60"/>
      <c r="I90" s="60"/>
      <c r="J90" s="60"/>
      <c r="L90" s="2"/>
    </row>
    <row r="91" ht="14.25" customHeight="1">
      <c r="A91" s="60"/>
      <c r="B91" s="60"/>
      <c r="C91" s="60"/>
      <c r="D91" s="60"/>
      <c r="I91" s="60"/>
      <c r="J91" s="60"/>
      <c r="L91" s="2"/>
    </row>
    <row r="92" ht="14.25" customHeight="1">
      <c r="A92" s="60"/>
      <c r="B92" s="60"/>
      <c r="C92" s="60"/>
      <c r="D92" s="60"/>
      <c r="I92" s="60"/>
      <c r="J92" s="60"/>
      <c r="L92" s="2"/>
    </row>
    <row r="93" ht="14.25" customHeight="1">
      <c r="A93" s="60"/>
      <c r="B93" s="60"/>
      <c r="C93" s="60"/>
      <c r="D93" s="60"/>
      <c r="I93" s="60"/>
      <c r="J93" s="60"/>
      <c r="L93" s="2"/>
    </row>
    <row r="94" ht="14.25" customHeight="1">
      <c r="A94" s="60"/>
      <c r="B94" s="60"/>
      <c r="C94" s="60"/>
      <c r="D94" s="60"/>
      <c r="I94" s="60"/>
      <c r="J94" s="60"/>
      <c r="L94" s="2"/>
    </row>
    <row r="95" ht="14.25" customHeight="1">
      <c r="A95" s="60"/>
      <c r="B95" s="60"/>
      <c r="C95" s="60"/>
      <c r="D95" s="60"/>
      <c r="I95" s="60"/>
      <c r="J95" s="60"/>
      <c r="L95" s="2"/>
    </row>
    <row r="96" ht="14.25" customHeight="1">
      <c r="A96" s="60"/>
      <c r="B96" s="60"/>
      <c r="C96" s="60"/>
      <c r="D96" s="60"/>
      <c r="I96" s="60"/>
      <c r="J96" s="60"/>
      <c r="L96" s="2"/>
    </row>
    <row r="97" ht="14.25" customHeight="1">
      <c r="A97" s="60"/>
      <c r="B97" s="60"/>
      <c r="C97" s="60"/>
      <c r="D97" s="60"/>
      <c r="I97" s="60"/>
      <c r="J97" s="60"/>
      <c r="L97" s="2"/>
    </row>
    <row r="98" ht="14.25" customHeight="1">
      <c r="A98" s="60"/>
      <c r="B98" s="60"/>
      <c r="C98" s="60"/>
      <c r="D98" s="60"/>
      <c r="I98" s="60"/>
      <c r="J98" s="60"/>
      <c r="L98" s="2"/>
    </row>
    <row r="99" ht="14.25" customHeight="1">
      <c r="A99" s="60"/>
      <c r="B99" s="60"/>
      <c r="C99" s="60"/>
      <c r="D99" s="60"/>
      <c r="I99" s="60"/>
      <c r="J99" s="60"/>
      <c r="L99" s="2"/>
    </row>
    <row r="100" ht="14.25" customHeight="1">
      <c r="A100" s="60"/>
      <c r="B100" s="60"/>
      <c r="C100" s="60"/>
      <c r="D100" s="60"/>
      <c r="I100" s="60"/>
      <c r="J100" s="60"/>
      <c r="L100" s="2"/>
    </row>
    <row r="101" ht="14.25" customHeight="1">
      <c r="A101" s="60"/>
      <c r="B101" s="60"/>
      <c r="C101" s="60"/>
      <c r="D101" s="60"/>
      <c r="I101" s="60"/>
      <c r="J101" s="60"/>
      <c r="L101" s="2"/>
    </row>
    <row r="102" ht="14.25" customHeight="1">
      <c r="A102" s="60"/>
      <c r="B102" s="60"/>
      <c r="C102" s="60"/>
      <c r="D102" s="60"/>
      <c r="I102" s="60"/>
      <c r="J102" s="60"/>
      <c r="L102" s="2"/>
    </row>
    <row r="103" ht="14.25" customHeight="1">
      <c r="A103" s="60"/>
      <c r="B103" s="60"/>
      <c r="C103" s="60"/>
      <c r="D103" s="60"/>
      <c r="I103" s="60"/>
      <c r="J103" s="60"/>
      <c r="L103" s="2"/>
    </row>
    <row r="104" ht="14.25" customHeight="1">
      <c r="A104" s="60"/>
      <c r="B104" s="60"/>
      <c r="C104" s="60"/>
      <c r="D104" s="60"/>
      <c r="I104" s="60"/>
      <c r="J104" s="60"/>
      <c r="L104" s="2"/>
    </row>
    <row r="105" ht="14.25" customHeight="1">
      <c r="A105" s="60"/>
      <c r="B105" s="60"/>
      <c r="C105" s="60"/>
      <c r="D105" s="60"/>
      <c r="I105" s="60"/>
      <c r="J105" s="60"/>
      <c r="L105" s="2"/>
    </row>
    <row r="106" ht="14.25" customHeight="1">
      <c r="A106" s="60"/>
      <c r="B106" s="60"/>
      <c r="C106" s="60"/>
      <c r="D106" s="60"/>
      <c r="I106" s="60"/>
      <c r="J106" s="60"/>
      <c r="L106" s="2"/>
    </row>
    <row r="107" ht="14.25" customHeight="1">
      <c r="A107" s="60"/>
      <c r="B107" s="60"/>
      <c r="C107" s="60"/>
      <c r="D107" s="60"/>
      <c r="I107" s="60"/>
      <c r="J107" s="60"/>
      <c r="L107" s="2"/>
    </row>
    <row r="108" ht="14.25" customHeight="1">
      <c r="A108" s="60"/>
      <c r="B108" s="60"/>
      <c r="C108" s="60"/>
      <c r="D108" s="60"/>
      <c r="I108" s="60"/>
      <c r="J108" s="60"/>
      <c r="L108" s="2"/>
    </row>
    <row r="109" ht="14.25" customHeight="1">
      <c r="A109" s="60"/>
      <c r="B109" s="60"/>
      <c r="C109" s="60"/>
      <c r="D109" s="60"/>
      <c r="I109" s="60"/>
      <c r="J109" s="60"/>
      <c r="L109" s="2"/>
    </row>
    <row r="110" ht="14.25" customHeight="1">
      <c r="A110" s="60"/>
      <c r="B110" s="60"/>
      <c r="C110" s="60"/>
      <c r="D110" s="60"/>
      <c r="I110" s="60"/>
      <c r="J110" s="60"/>
      <c r="L110" s="2"/>
    </row>
    <row r="111" ht="14.25" customHeight="1">
      <c r="A111" s="60"/>
      <c r="B111" s="60"/>
      <c r="C111" s="60"/>
      <c r="D111" s="60"/>
      <c r="I111" s="60"/>
      <c r="J111" s="60"/>
      <c r="L111" s="2"/>
    </row>
    <row r="112" ht="14.25" customHeight="1">
      <c r="A112" s="60"/>
      <c r="B112" s="60"/>
      <c r="C112" s="60"/>
      <c r="D112" s="60"/>
      <c r="I112" s="60"/>
      <c r="J112" s="60"/>
      <c r="L112" s="2"/>
    </row>
    <row r="113" ht="14.25" customHeight="1">
      <c r="A113" s="60"/>
      <c r="B113" s="60"/>
      <c r="C113" s="60"/>
      <c r="D113" s="60"/>
      <c r="I113" s="60"/>
      <c r="J113" s="60"/>
      <c r="L113" s="2"/>
    </row>
    <row r="114" ht="14.25" customHeight="1">
      <c r="A114" s="60"/>
      <c r="B114" s="60"/>
      <c r="C114" s="60"/>
      <c r="D114" s="60"/>
      <c r="I114" s="60"/>
      <c r="J114" s="60"/>
      <c r="L114" s="2"/>
    </row>
    <row r="115" ht="14.25" customHeight="1">
      <c r="A115" s="60"/>
      <c r="B115" s="60"/>
      <c r="C115" s="60"/>
      <c r="D115" s="60"/>
      <c r="I115" s="60"/>
      <c r="J115" s="60"/>
      <c r="L115" s="2"/>
    </row>
    <row r="116" ht="14.25" customHeight="1">
      <c r="A116" s="60"/>
      <c r="B116" s="60"/>
      <c r="C116" s="60"/>
      <c r="D116" s="60"/>
      <c r="I116" s="60"/>
      <c r="J116" s="60"/>
      <c r="L116" s="2"/>
    </row>
    <row r="117" ht="14.25" customHeight="1">
      <c r="A117" s="60"/>
      <c r="B117" s="60"/>
      <c r="C117" s="60"/>
      <c r="D117" s="60"/>
      <c r="I117" s="60"/>
      <c r="J117" s="60"/>
      <c r="L117" s="2"/>
    </row>
    <row r="118" ht="14.25" customHeight="1">
      <c r="A118" s="60"/>
      <c r="B118" s="60"/>
      <c r="C118" s="60"/>
      <c r="D118" s="60"/>
      <c r="I118" s="60"/>
      <c r="J118" s="60"/>
      <c r="L118" s="2"/>
    </row>
    <row r="119" ht="14.25" customHeight="1">
      <c r="A119" s="60"/>
      <c r="B119" s="60"/>
      <c r="C119" s="60"/>
      <c r="D119" s="60"/>
      <c r="I119" s="60"/>
      <c r="J119" s="60"/>
      <c r="L119" s="2"/>
    </row>
    <row r="120" ht="14.25" customHeight="1">
      <c r="A120" s="60"/>
      <c r="B120" s="60"/>
      <c r="C120" s="60"/>
      <c r="D120" s="60"/>
      <c r="I120" s="60"/>
      <c r="J120" s="60"/>
      <c r="L120" s="2"/>
    </row>
    <row r="121" ht="14.25" customHeight="1">
      <c r="A121" s="60"/>
      <c r="B121" s="60"/>
      <c r="C121" s="60"/>
      <c r="D121" s="60"/>
      <c r="I121" s="60"/>
      <c r="J121" s="60"/>
      <c r="L121" s="2"/>
    </row>
    <row r="122" ht="14.25" customHeight="1">
      <c r="A122" s="60"/>
      <c r="B122" s="60"/>
      <c r="C122" s="60"/>
      <c r="D122" s="60"/>
      <c r="I122" s="60"/>
      <c r="J122" s="60"/>
      <c r="L122" s="2"/>
    </row>
    <row r="123" ht="14.25" customHeight="1">
      <c r="A123" s="60"/>
      <c r="B123" s="60"/>
      <c r="C123" s="60"/>
      <c r="D123" s="60"/>
      <c r="I123" s="60"/>
      <c r="J123" s="60"/>
      <c r="L123" s="2"/>
    </row>
    <row r="124" ht="14.25" customHeight="1">
      <c r="A124" s="60"/>
      <c r="B124" s="60"/>
      <c r="C124" s="60"/>
      <c r="D124" s="60"/>
      <c r="I124" s="60"/>
      <c r="J124" s="60"/>
      <c r="L124" s="2"/>
    </row>
    <row r="125" ht="14.25" customHeight="1">
      <c r="A125" s="60"/>
      <c r="B125" s="60"/>
      <c r="C125" s="60"/>
      <c r="D125" s="60"/>
      <c r="I125" s="60"/>
      <c r="J125" s="60"/>
      <c r="L125" s="2"/>
    </row>
    <row r="126" ht="14.25" customHeight="1">
      <c r="A126" s="60"/>
      <c r="B126" s="60"/>
      <c r="C126" s="60"/>
      <c r="D126" s="60"/>
      <c r="I126" s="60"/>
      <c r="J126" s="60"/>
      <c r="L126" s="2"/>
    </row>
    <row r="127" ht="14.25" customHeight="1">
      <c r="A127" s="60"/>
      <c r="B127" s="60"/>
      <c r="C127" s="60"/>
      <c r="D127" s="60"/>
      <c r="I127" s="60"/>
      <c r="J127" s="60"/>
      <c r="L127" s="2"/>
    </row>
    <row r="128" ht="14.25" customHeight="1">
      <c r="A128" s="60"/>
      <c r="B128" s="60"/>
      <c r="C128" s="60"/>
      <c r="D128" s="60"/>
      <c r="I128" s="60"/>
      <c r="J128" s="60"/>
      <c r="L128" s="2"/>
    </row>
    <row r="129" ht="14.25" customHeight="1">
      <c r="A129" s="60"/>
      <c r="B129" s="60"/>
      <c r="C129" s="60"/>
      <c r="D129" s="60"/>
      <c r="I129" s="60"/>
      <c r="J129" s="60"/>
      <c r="L129" s="2"/>
    </row>
    <row r="130" ht="14.25" customHeight="1">
      <c r="A130" s="60"/>
      <c r="B130" s="60"/>
      <c r="C130" s="60"/>
      <c r="D130" s="60"/>
      <c r="I130" s="60"/>
      <c r="J130" s="60"/>
      <c r="L130" s="2"/>
    </row>
    <row r="131" ht="14.25" customHeight="1">
      <c r="A131" s="60"/>
      <c r="B131" s="60"/>
      <c r="C131" s="60"/>
      <c r="D131" s="60"/>
      <c r="I131" s="60"/>
      <c r="J131" s="60"/>
      <c r="L131" s="2"/>
    </row>
    <row r="132" ht="14.25" customHeight="1">
      <c r="A132" s="60"/>
      <c r="B132" s="60"/>
      <c r="C132" s="60"/>
      <c r="D132" s="60"/>
      <c r="I132" s="60"/>
      <c r="J132" s="60"/>
      <c r="L132" s="2"/>
    </row>
    <row r="133" ht="14.25" customHeight="1">
      <c r="A133" s="60"/>
      <c r="B133" s="60"/>
      <c r="C133" s="60"/>
      <c r="D133" s="60"/>
      <c r="I133" s="60"/>
      <c r="J133" s="60"/>
      <c r="L133" s="2"/>
    </row>
    <row r="134" ht="14.25" customHeight="1">
      <c r="A134" s="60"/>
      <c r="B134" s="60"/>
      <c r="C134" s="60"/>
      <c r="D134" s="60"/>
      <c r="I134" s="60"/>
      <c r="J134" s="60"/>
      <c r="L134" s="2"/>
    </row>
    <row r="135" ht="14.25" customHeight="1">
      <c r="A135" s="60"/>
      <c r="B135" s="60"/>
      <c r="C135" s="60"/>
      <c r="D135" s="60"/>
      <c r="I135" s="60"/>
      <c r="J135" s="60"/>
      <c r="L135" s="2"/>
    </row>
    <row r="136" ht="14.25" customHeight="1">
      <c r="A136" s="60"/>
      <c r="B136" s="60"/>
      <c r="C136" s="60"/>
      <c r="D136" s="60"/>
      <c r="I136" s="60"/>
      <c r="J136" s="60"/>
      <c r="L136" s="2"/>
    </row>
    <row r="137" ht="14.25" customHeight="1">
      <c r="A137" s="60"/>
      <c r="B137" s="60"/>
      <c r="C137" s="60"/>
      <c r="D137" s="60"/>
      <c r="I137" s="60"/>
      <c r="J137" s="60"/>
      <c r="L137" s="2"/>
    </row>
    <row r="138" ht="14.25" customHeight="1">
      <c r="A138" s="60"/>
      <c r="B138" s="60"/>
      <c r="C138" s="60"/>
      <c r="D138" s="60"/>
      <c r="I138" s="60"/>
      <c r="J138" s="60"/>
      <c r="L138" s="2"/>
    </row>
    <row r="139" ht="14.25" customHeight="1">
      <c r="A139" s="60"/>
      <c r="B139" s="60"/>
      <c r="C139" s="60"/>
      <c r="D139" s="60"/>
      <c r="I139" s="60"/>
      <c r="J139" s="60"/>
      <c r="L139" s="2"/>
    </row>
    <row r="140" ht="14.25" customHeight="1">
      <c r="A140" s="60"/>
      <c r="B140" s="60"/>
      <c r="C140" s="60"/>
      <c r="D140" s="60"/>
      <c r="I140" s="60"/>
      <c r="J140" s="60"/>
      <c r="L140" s="2"/>
    </row>
    <row r="141" ht="14.25" customHeight="1">
      <c r="A141" s="60"/>
      <c r="B141" s="60"/>
      <c r="C141" s="60"/>
      <c r="D141" s="60"/>
      <c r="I141" s="60"/>
      <c r="J141" s="60"/>
      <c r="L141" s="2"/>
    </row>
    <row r="142" ht="14.25" customHeight="1">
      <c r="A142" s="60"/>
      <c r="B142" s="60"/>
      <c r="C142" s="60"/>
      <c r="D142" s="60"/>
      <c r="I142" s="60"/>
      <c r="J142" s="60"/>
      <c r="L142" s="2"/>
    </row>
    <row r="143" ht="14.25" customHeight="1">
      <c r="A143" s="60"/>
      <c r="B143" s="60"/>
      <c r="C143" s="60"/>
      <c r="D143" s="60"/>
      <c r="I143" s="60"/>
      <c r="J143" s="60"/>
      <c r="L143" s="2"/>
    </row>
    <row r="144" ht="14.25" customHeight="1">
      <c r="A144" s="60"/>
      <c r="B144" s="60"/>
      <c r="C144" s="60"/>
      <c r="D144" s="60"/>
      <c r="I144" s="60"/>
      <c r="J144" s="60"/>
      <c r="L144" s="2"/>
    </row>
    <row r="145" ht="14.25" customHeight="1">
      <c r="A145" s="60"/>
      <c r="B145" s="60"/>
      <c r="C145" s="60"/>
      <c r="D145" s="60"/>
      <c r="I145" s="60"/>
      <c r="J145" s="60"/>
      <c r="L145" s="2"/>
    </row>
    <row r="146" ht="14.25" customHeight="1">
      <c r="A146" s="60"/>
      <c r="B146" s="60"/>
      <c r="C146" s="60"/>
      <c r="D146" s="60"/>
      <c r="I146" s="60"/>
      <c r="J146" s="60"/>
      <c r="L146" s="2"/>
    </row>
    <row r="147" ht="14.25" customHeight="1">
      <c r="A147" s="60"/>
      <c r="B147" s="60"/>
      <c r="C147" s="60"/>
      <c r="D147" s="60"/>
      <c r="I147" s="60"/>
      <c r="J147" s="60"/>
      <c r="L147" s="2"/>
    </row>
    <row r="148" ht="14.25" customHeight="1">
      <c r="A148" s="60"/>
      <c r="B148" s="60"/>
      <c r="C148" s="60"/>
      <c r="D148" s="60"/>
      <c r="I148" s="60"/>
      <c r="J148" s="60"/>
      <c r="L148" s="2"/>
    </row>
    <row r="149" ht="14.25" customHeight="1">
      <c r="A149" s="60"/>
      <c r="B149" s="60"/>
      <c r="C149" s="60"/>
      <c r="D149" s="60"/>
      <c r="I149" s="60"/>
      <c r="J149" s="60"/>
      <c r="L149" s="2"/>
    </row>
    <row r="150" ht="14.25" customHeight="1">
      <c r="A150" s="60"/>
      <c r="B150" s="60"/>
      <c r="C150" s="60"/>
      <c r="D150" s="60"/>
      <c r="I150" s="60"/>
      <c r="J150" s="60"/>
      <c r="L150" s="2"/>
    </row>
    <row r="151" ht="14.25" customHeight="1">
      <c r="A151" s="60"/>
      <c r="B151" s="60"/>
      <c r="C151" s="60"/>
      <c r="D151" s="60"/>
      <c r="I151" s="60"/>
      <c r="J151" s="60"/>
      <c r="L151" s="2"/>
    </row>
    <row r="152" ht="14.25" customHeight="1">
      <c r="A152" s="60"/>
      <c r="B152" s="60"/>
      <c r="C152" s="60"/>
      <c r="D152" s="60"/>
      <c r="I152" s="60"/>
      <c r="J152" s="60"/>
      <c r="L152" s="2"/>
    </row>
    <row r="153" ht="14.25" customHeight="1">
      <c r="A153" s="60"/>
      <c r="B153" s="60"/>
      <c r="C153" s="60"/>
      <c r="D153" s="60"/>
      <c r="I153" s="60"/>
      <c r="J153" s="60"/>
      <c r="L153" s="2"/>
    </row>
    <row r="154" ht="14.25" customHeight="1">
      <c r="A154" s="60"/>
      <c r="B154" s="60"/>
      <c r="C154" s="60"/>
      <c r="D154" s="60"/>
      <c r="I154" s="60"/>
      <c r="J154" s="60"/>
      <c r="L154" s="2"/>
    </row>
    <row r="155" ht="14.25" customHeight="1">
      <c r="A155" s="60"/>
      <c r="B155" s="60"/>
      <c r="C155" s="60"/>
      <c r="D155" s="60"/>
      <c r="I155" s="60"/>
      <c r="J155" s="60"/>
      <c r="L155" s="2"/>
    </row>
    <row r="156" ht="14.25" customHeight="1">
      <c r="A156" s="60"/>
      <c r="B156" s="60"/>
      <c r="C156" s="60"/>
      <c r="D156" s="60"/>
      <c r="I156" s="60"/>
      <c r="J156" s="60"/>
      <c r="L156" s="2"/>
    </row>
    <row r="157" ht="14.25" customHeight="1">
      <c r="A157" s="60"/>
      <c r="B157" s="60"/>
      <c r="C157" s="60"/>
      <c r="D157" s="60"/>
      <c r="I157" s="60"/>
      <c r="J157" s="60"/>
      <c r="L157" s="2"/>
    </row>
    <row r="158" ht="14.25" customHeight="1">
      <c r="A158" s="60"/>
      <c r="B158" s="60"/>
      <c r="C158" s="60"/>
      <c r="D158" s="60"/>
      <c r="I158" s="60"/>
      <c r="J158" s="60"/>
      <c r="L158" s="2"/>
    </row>
    <row r="159" ht="14.25" customHeight="1">
      <c r="A159" s="60"/>
      <c r="B159" s="60"/>
      <c r="C159" s="60"/>
      <c r="D159" s="60"/>
      <c r="I159" s="60"/>
      <c r="J159" s="60"/>
      <c r="L159" s="2"/>
    </row>
    <row r="160" ht="14.25" customHeight="1">
      <c r="A160" s="60"/>
      <c r="B160" s="60"/>
      <c r="C160" s="60"/>
      <c r="D160" s="60"/>
      <c r="I160" s="60"/>
      <c r="J160" s="60"/>
      <c r="L160" s="2"/>
    </row>
    <row r="161" ht="14.25" customHeight="1">
      <c r="A161" s="60"/>
      <c r="B161" s="60"/>
      <c r="C161" s="60"/>
      <c r="D161" s="60"/>
      <c r="I161" s="60"/>
      <c r="J161" s="60"/>
      <c r="L161" s="2"/>
    </row>
    <row r="162" ht="14.25" customHeight="1">
      <c r="A162" s="60"/>
      <c r="B162" s="60"/>
      <c r="C162" s="60"/>
      <c r="D162" s="60"/>
      <c r="I162" s="60"/>
      <c r="J162" s="60"/>
      <c r="L162" s="2"/>
    </row>
    <row r="163" ht="14.25" customHeight="1">
      <c r="A163" s="60"/>
      <c r="B163" s="60"/>
      <c r="C163" s="60"/>
      <c r="D163" s="60"/>
      <c r="I163" s="60"/>
      <c r="J163" s="60"/>
      <c r="L163" s="2"/>
    </row>
    <row r="164" ht="14.25" customHeight="1">
      <c r="A164" s="60"/>
      <c r="B164" s="60"/>
      <c r="C164" s="60"/>
      <c r="D164" s="60"/>
      <c r="I164" s="60"/>
      <c r="J164" s="60"/>
      <c r="L164" s="2"/>
    </row>
    <row r="165" ht="14.25" customHeight="1">
      <c r="A165" s="60"/>
      <c r="B165" s="60"/>
      <c r="C165" s="60"/>
      <c r="D165" s="60"/>
      <c r="I165" s="60"/>
      <c r="J165" s="60"/>
      <c r="L165" s="2"/>
    </row>
    <row r="166" ht="14.25" customHeight="1">
      <c r="A166" s="60"/>
      <c r="B166" s="60"/>
      <c r="C166" s="60"/>
      <c r="D166" s="60"/>
      <c r="I166" s="60"/>
      <c r="J166" s="60"/>
      <c r="L166" s="2"/>
    </row>
    <row r="167" ht="14.25" customHeight="1">
      <c r="A167" s="60"/>
      <c r="B167" s="60"/>
      <c r="C167" s="60"/>
      <c r="D167" s="60"/>
      <c r="I167" s="60"/>
      <c r="J167" s="60"/>
      <c r="L167" s="2"/>
    </row>
    <row r="168" ht="14.25" customHeight="1">
      <c r="A168" s="60"/>
      <c r="B168" s="60"/>
      <c r="C168" s="60"/>
      <c r="D168" s="60"/>
      <c r="I168" s="60"/>
      <c r="J168" s="60"/>
      <c r="L168" s="2"/>
    </row>
    <row r="169" ht="14.25" customHeight="1">
      <c r="A169" s="60"/>
      <c r="B169" s="60"/>
      <c r="C169" s="60"/>
      <c r="D169" s="60"/>
      <c r="I169" s="60"/>
      <c r="J169" s="60"/>
      <c r="L169" s="2"/>
    </row>
    <row r="170" ht="14.25" customHeight="1">
      <c r="A170" s="60"/>
      <c r="B170" s="60"/>
      <c r="C170" s="60"/>
      <c r="D170" s="60"/>
      <c r="I170" s="60"/>
      <c r="J170" s="60"/>
      <c r="L170" s="2"/>
    </row>
    <row r="171" ht="14.25" customHeight="1">
      <c r="A171" s="60"/>
      <c r="B171" s="60"/>
      <c r="C171" s="60"/>
      <c r="D171" s="60"/>
      <c r="I171" s="60"/>
      <c r="J171" s="60"/>
      <c r="L171" s="2"/>
    </row>
    <row r="172" ht="14.25" customHeight="1">
      <c r="A172" s="60"/>
      <c r="B172" s="60"/>
      <c r="C172" s="60"/>
      <c r="D172" s="60"/>
      <c r="I172" s="60"/>
      <c r="J172" s="60"/>
      <c r="L172" s="2"/>
    </row>
    <row r="173" ht="14.25" customHeight="1">
      <c r="A173" s="60"/>
      <c r="B173" s="60"/>
      <c r="C173" s="60"/>
      <c r="D173" s="60"/>
      <c r="I173" s="60"/>
      <c r="J173" s="60"/>
      <c r="L173" s="2"/>
    </row>
    <row r="174" ht="14.25" customHeight="1">
      <c r="A174" s="60"/>
      <c r="B174" s="60"/>
      <c r="C174" s="60"/>
      <c r="D174" s="60"/>
      <c r="I174" s="60"/>
      <c r="J174" s="60"/>
      <c r="L174" s="2"/>
    </row>
    <row r="175" ht="14.25" customHeight="1">
      <c r="A175" s="60"/>
      <c r="B175" s="60"/>
      <c r="C175" s="60"/>
      <c r="D175" s="60"/>
      <c r="I175" s="60"/>
      <c r="J175" s="60"/>
      <c r="L175" s="2"/>
    </row>
    <row r="176" ht="14.25" customHeight="1">
      <c r="A176" s="60"/>
      <c r="B176" s="60"/>
      <c r="C176" s="60"/>
      <c r="D176" s="60"/>
      <c r="I176" s="60"/>
      <c r="J176" s="60"/>
      <c r="L176" s="2"/>
    </row>
    <row r="177" ht="14.25" customHeight="1">
      <c r="A177" s="60"/>
      <c r="B177" s="60"/>
      <c r="C177" s="60"/>
      <c r="D177" s="60"/>
      <c r="I177" s="60"/>
      <c r="J177" s="60"/>
      <c r="L177" s="2"/>
    </row>
    <row r="178" ht="14.25" customHeight="1">
      <c r="A178" s="60"/>
      <c r="B178" s="60"/>
      <c r="C178" s="60"/>
      <c r="D178" s="60"/>
      <c r="I178" s="60"/>
      <c r="J178" s="60"/>
      <c r="L178" s="2"/>
    </row>
    <row r="179" ht="14.25" customHeight="1">
      <c r="A179" s="60"/>
      <c r="B179" s="60"/>
      <c r="C179" s="60"/>
      <c r="D179" s="60"/>
      <c r="I179" s="60"/>
      <c r="J179" s="60"/>
      <c r="L179" s="2"/>
    </row>
    <row r="180" ht="14.25" customHeight="1">
      <c r="A180" s="60"/>
      <c r="B180" s="60"/>
      <c r="C180" s="60"/>
      <c r="D180" s="60"/>
      <c r="I180" s="60"/>
      <c r="J180" s="60"/>
      <c r="L180" s="2"/>
    </row>
    <row r="181" ht="14.25" customHeight="1">
      <c r="A181" s="60"/>
      <c r="B181" s="60"/>
      <c r="C181" s="60"/>
      <c r="D181" s="60"/>
      <c r="I181" s="60"/>
      <c r="J181" s="60"/>
      <c r="L181" s="2"/>
    </row>
    <row r="182" ht="14.25" customHeight="1">
      <c r="A182" s="60"/>
      <c r="B182" s="60"/>
      <c r="C182" s="60"/>
      <c r="D182" s="60"/>
      <c r="I182" s="60"/>
      <c r="J182" s="60"/>
      <c r="L182" s="2"/>
    </row>
    <row r="183" ht="14.25" customHeight="1">
      <c r="A183" s="60"/>
      <c r="B183" s="60"/>
      <c r="C183" s="60"/>
      <c r="D183" s="60"/>
      <c r="I183" s="60"/>
      <c r="J183" s="60"/>
      <c r="L183" s="2"/>
    </row>
    <row r="184" ht="14.25" customHeight="1">
      <c r="A184" s="60"/>
      <c r="B184" s="60"/>
      <c r="C184" s="60"/>
      <c r="D184" s="60"/>
      <c r="I184" s="60"/>
      <c r="J184" s="60"/>
      <c r="L184" s="2"/>
    </row>
    <row r="185" ht="14.25" customHeight="1">
      <c r="A185" s="60"/>
      <c r="B185" s="60"/>
      <c r="C185" s="60"/>
      <c r="D185" s="60"/>
      <c r="I185" s="60"/>
      <c r="J185" s="60"/>
      <c r="L185" s="2"/>
    </row>
    <row r="186" ht="14.25" customHeight="1">
      <c r="A186" s="60"/>
      <c r="B186" s="60"/>
      <c r="C186" s="60"/>
      <c r="D186" s="60"/>
      <c r="I186" s="60"/>
      <c r="J186" s="60"/>
      <c r="L186" s="2"/>
    </row>
    <row r="187" ht="14.25" customHeight="1">
      <c r="A187" s="60"/>
      <c r="B187" s="60"/>
      <c r="C187" s="60"/>
      <c r="D187" s="60"/>
      <c r="I187" s="60"/>
      <c r="J187" s="60"/>
      <c r="L187" s="2"/>
    </row>
    <row r="188" ht="14.25" customHeight="1">
      <c r="A188" s="60"/>
      <c r="B188" s="60"/>
      <c r="C188" s="60"/>
      <c r="D188" s="60"/>
      <c r="I188" s="60"/>
      <c r="J188" s="60"/>
      <c r="L188" s="2"/>
    </row>
    <row r="189" ht="14.25" customHeight="1">
      <c r="A189" s="60"/>
      <c r="B189" s="60"/>
      <c r="C189" s="60"/>
      <c r="D189" s="60"/>
      <c r="I189" s="60"/>
      <c r="J189" s="60"/>
      <c r="L189" s="2"/>
    </row>
    <row r="190" ht="14.25" customHeight="1">
      <c r="A190" s="60"/>
      <c r="B190" s="60"/>
      <c r="C190" s="60"/>
      <c r="D190" s="60"/>
      <c r="I190" s="60"/>
      <c r="J190" s="60"/>
      <c r="L190" s="2"/>
    </row>
    <row r="191" ht="14.25" customHeight="1">
      <c r="A191" s="60"/>
      <c r="B191" s="60"/>
      <c r="C191" s="60"/>
      <c r="D191" s="60"/>
      <c r="I191" s="60"/>
      <c r="J191" s="60"/>
      <c r="L191" s="2"/>
    </row>
    <row r="192" ht="14.25" customHeight="1">
      <c r="A192" s="60"/>
      <c r="B192" s="60"/>
      <c r="C192" s="60"/>
      <c r="D192" s="60"/>
      <c r="I192" s="60"/>
      <c r="J192" s="60"/>
      <c r="L192" s="2"/>
    </row>
    <row r="193" ht="14.25" customHeight="1">
      <c r="A193" s="60"/>
      <c r="B193" s="60"/>
      <c r="C193" s="60"/>
      <c r="D193" s="60"/>
      <c r="I193" s="60"/>
      <c r="J193" s="60"/>
      <c r="L193" s="2"/>
    </row>
    <row r="194" ht="14.25" customHeight="1">
      <c r="A194" s="60"/>
      <c r="B194" s="60"/>
      <c r="C194" s="60"/>
      <c r="D194" s="60"/>
      <c r="I194" s="60"/>
      <c r="J194" s="60"/>
      <c r="L194" s="2"/>
    </row>
    <row r="195" ht="14.25" customHeight="1">
      <c r="A195" s="60"/>
      <c r="B195" s="60"/>
      <c r="C195" s="60"/>
      <c r="D195" s="60"/>
      <c r="I195" s="60"/>
      <c r="J195" s="60"/>
      <c r="L195" s="2"/>
    </row>
    <row r="196" ht="14.25" customHeight="1">
      <c r="A196" s="60"/>
      <c r="B196" s="60"/>
      <c r="C196" s="60"/>
      <c r="D196" s="60"/>
      <c r="I196" s="60"/>
      <c r="J196" s="60"/>
      <c r="L196" s="2"/>
    </row>
    <row r="197" ht="14.25" customHeight="1">
      <c r="A197" s="60"/>
      <c r="B197" s="60"/>
      <c r="C197" s="60"/>
      <c r="D197" s="60"/>
      <c r="I197" s="60"/>
      <c r="J197" s="60"/>
      <c r="L197" s="2"/>
    </row>
    <row r="198" ht="14.25" customHeight="1">
      <c r="A198" s="60"/>
      <c r="B198" s="60"/>
      <c r="C198" s="60"/>
      <c r="D198" s="60"/>
      <c r="I198" s="60"/>
      <c r="J198" s="60"/>
      <c r="L198" s="2"/>
    </row>
    <row r="199" ht="14.25" customHeight="1">
      <c r="A199" s="60"/>
      <c r="B199" s="60"/>
      <c r="C199" s="60"/>
      <c r="D199" s="60"/>
      <c r="I199" s="60"/>
      <c r="J199" s="60"/>
      <c r="L199" s="2"/>
    </row>
    <row r="200" ht="14.25" customHeight="1">
      <c r="A200" s="60"/>
      <c r="B200" s="60"/>
      <c r="C200" s="60"/>
      <c r="D200" s="60"/>
      <c r="I200" s="60"/>
      <c r="J200" s="60"/>
      <c r="L200" s="2"/>
    </row>
    <row r="201" ht="14.25" customHeight="1">
      <c r="A201" s="60"/>
      <c r="B201" s="60"/>
      <c r="C201" s="60"/>
      <c r="D201" s="60"/>
      <c r="I201" s="60"/>
      <c r="J201" s="60"/>
      <c r="L201" s="2"/>
    </row>
    <row r="202" ht="14.25" customHeight="1">
      <c r="A202" s="60"/>
      <c r="B202" s="60"/>
      <c r="C202" s="60"/>
      <c r="D202" s="60"/>
      <c r="I202" s="60"/>
      <c r="J202" s="60"/>
      <c r="L202" s="2"/>
    </row>
    <row r="203" ht="14.25" customHeight="1">
      <c r="A203" s="60"/>
      <c r="B203" s="60"/>
      <c r="C203" s="60"/>
      <c r="D203" s="60"/>
      <c r="I203" s="60"/>
      <c r="J203" s="60"/>
      <c r="L203" s="2"/>
    </row>
    <row r="204" ht="14.25" customHeight="1">
      <c r="A204" s="60"/>
      <c r="B204" s="60"/>
      <c r="C204" s="60"/>
      <c r="D204" s="60"/>
      <c r="I204" s="60"/>
      <c r="J204" s="60"/>
      <c r="L204" s="2"/>
    </row>
    <row r="205" ht="14.25" customHeight="1">
      <c r="A205" s="60"/>
      <c r="B205" s="60"/>
      <c r="C205" s="60"/>
      <c r="D205" s="60"/>
      <c r="I205" s="60"/>
      <c r="J205" s="60"/>
      <c r="L205" s="2"/>
    </row>
    <row r="206" ht="14.25" customHeight="1">
      <c r="A206" s="60"/>
      <c r="B206" s="60"/>
      <c r="C206" s="60"/>
      <c r="D206" s="60"/>
      <c r="I206" s="60"/>
      <c r="J206" s="60"/>
      <c r="L206" s="2"/>
    </row>
    <row r="207" ht="14.25" customHeight="1">
      <c r="A207" s="60"/>
      <c r="B207" s="60"/>
      <c r="C207" s="60"/>
      <c r="D207" s="60"/>
      <c r="I207" s="60"/>
      <c r="J207" s="60"/>
      <c r="L207" s="2"/>
    </row>
    <row r="208" ht="14.25" customHeight="1">
      <c r="A208" s="60"/>
      <c r="B208" s="60"/>
      <c r="C208" s="60"/>
      <c r="D208" s="60"/>
      <c r="I208" s="60"/>
      <c r="J208" s="60"/>
      <c r="L208" s="2"/>
    </row>
    <row r="209" ht="14.25" customHeight="1">
      <c r="A209" s="60"/>
      <c r="B209" s="60"/>
      <c r="C209" s="60"/>
      <c r="D209" s="60"/>
      <c r="I209" s="60"/>
      <c r="J209" s="60"/>
      <c r="L209" s="2"/>
    </row>
    <row r="210" ht="14.25" customHeight="1">
      <c r="A210" s="60"/>
      <c r="B210" s="60"/>
      <c r="C210" s="60"/>
      <c r="D210" s="60"/>
      <c r="I210" s="60"/>
      <c r="J210" s="60"/>
      <c r="L210" s="2"/>
    </row>
    <row r="211" ht="14.25" customHeight="1">
      <c r="A211" s="60"/>
      <c r="B211" s="60"/>
      <c r="C211" s="60"/>
      <c r="D211" s="60"/>
      <c r="I211" s="60"/>
      <c r="J211" s="60"/>
      <c r="L211" s="2"/>
    </row>
    <row r="212" ht="14.25" customHeight="1">
      <c r="A212" s="60"/>
      <c r="B212" s="60"/>
      <c r="C212" s="60"/>
      <c r="D212" s="60"/>
      <c r="I212" s="60"/>
      <c r="J212" s="60"/>
      <c r="L212" s="2"/>
    </row>
    <row r="213" ht="14.25" customHeight="1">
      <c r="A213" s="60"/>
      <c r="B213" s="60"/>
      <c r="C213" s="60"/>
      <c r="D213" s="60"/>
      <c r="I213" s="60"/>
      <c r="J213" s="60"/>
      <c r="L213" s="2"/>
    </row>
    <row r="214" ht="14.25" customHeight="1">
      <c r="A214" s="60"/>
      <c r="B214" s="60"/>
      <c r="C214" s="60"/>
      <c r="D214" s="60"/>
      <c r="I214" s="60"/>
      <c r="J214" s="60"/>
      <c r="L214" s="2"/>
    </row>
    <row r="215" ht="14.25" customHeight="1">
      <c r="A215" s="60"/>
      <c r="B215" s="60"/>
      <c r="C215" s="60"/>
      <c r="D215" s="60"/>
      <c r="I215" s="60"/>
      <c r="J215" s="60"/>
      <c r="L215" s="2"/>
    </row>
    <row r="216" ht="14.25" customHeight="1">
      <c r="A216" s="60"/>
      <c r="B216" s="60"/>
      <c r="C216" s="60"/>
      <c r="D216" s="60"/>
      <c r="I216" s="60"/>
      <c r="J216" s="60"/>
      <c r="L216" s="2"/>
    </row>
    <row r="217" ht="14.25" customHeight="1">
      <c r="A217" s="60"/>
      <c r="B217" s="60"/>
      <c r="C217" s="60"/>
      <c r="D217" s="60"/>
      <c r="I217" s="60"/>
      <c r="J217" s="60"/>
      <c r="L217" s="2"/>
    </row>
    <row r="218" ht="14.25" customHeight="1">
      <c r="A218" s="60"/>
      <c r="B218" s="60"/>
      <c r="C218" s="60"/>
      <c r="D218" s="60"/>
      <c r="I218" s="60"/>
      <c r="J218" s="60"/>
      <c r="L218" s="2"/>
    </row>
    <row r="219" ht="14.25" customHeight="1">
      <c r="A219" s="60"/>
      <c r="B219" s="60"/>
      <c r="C219" s="60"/>
      <c r="D219" s="60"/>
      <c r="I219" s="60"/>
      <c r="J219" s="60"/>
      <c r="L219" s="2"/>
    </row>
    <row r="220" ht="14.25" customHeight="1">
      <c r="A220" s="60"/>
      <c r="B220" s="60"/>
      <c r="C220" s="60"/>
      <c r="D220" s="60"/>
      <c r="I220" s="60"/>
      <c r="J220" s="60"/>
      <c r="L220" s="2"/>
    </row>
    <row r="221" ht="14.25" customHeight="1">
      <c r="A221" s="60"/>
      <c r="B221" s="60"/>
      <c r="C221" s="60"/>
      <c r="D221" s="60"/>
      <c r="I221" s="60"/>
      <c r="J221" s="60"/>
      <c r="L221" s="2"/>
    </row>
    <row r="222" ht="14.25" customHeight="1">
      <c r="A222" s="60"/>
      <c r="B222" s="60"/>
      <c r="C222" s="60"/>
      <c r="D222" s="60"/>
      <c r="I222" s="60"/>
      <c r="J222" s="60"/>
      <c r="L222" s="2"/>
    </row>
    <row r="223" ht="14.25" customHeight="1">
      <c r="A223" s="60"/>
      <c r="B223" s="60"/>
      <c r="C223" s="60"/>
      <c r="D223" s="60"/>
      <c r="I223" s="60"/>
      <c r="J223" s="60"/>
      <c r="L223" s="2"/>
    </row>
    <row r="224" ht="14.25" customHeight="1">
      <c r="A224" s="60"/>
      <c r="B224" s="60"/>
      <c r="C224" s="60"/>
      <c r="D224" s="60"/>
      <c r="I224" s="60"/>
      <c r="J224" s="60"/>
      <c r="L224" s="2"/>
    </row>
    <row r="225" ht="14.25" customHeight="1">
      <c r="A225" s="60"/>
      <c r="B225" s="60"/>
      <c r="C225" s="60"/>
      <c r="D225" s="60"/>
      <c r="I225" s="60"/>
      <c r="J225" s="60"/>
      <c r="L225" s="2"/>
    </row>
    <row r="226" ht="14.25" customHeight="1">
      <c r="A226" s="60"/>
      <c r="B226" s="60"/>
      <c r="C226" s="60"/>
      <c r="D226" s="60"/>
      <c r="I226" s="60"/>
      <c r="J226" s="60"/>
      <c r="L226" s="2"/>
    </row>
    <row r="227" ht="14.25" customHeight="1">
      <c r="A227" s="60"/>
      <c r="B227" s="60"/>
      <c r="C227" s="60"/>
      <c r="D227" s="60"/>
      <c r="I227" s="60"/>
      <c r="J227" s="60"/>
      <c r="L227" s="2"/>
    </row>
    <row r="228" ht="14.25" customHeight="1">
      <c r="A228" s="60"/>
      <c r="B228" s="60"/>
      <c r="C228" s="60"/>
      <c r="D228" s="60"/>
      <c r="I228" s="60"/>
      <c r="J228" s="60"/>
      <c r="L228" s="2"/>
    </row>
    <row r="229" ht="14.25" customHeight="1">
      <c r="A229" s="60"/>
      <c r="B229" s="60"/>
      <c r="C229" s="60"/>
      <c r="D229" s="60"/>
      <c r="I229" s="60"/>
      <c r="J229" s="60"/>
      <c r="L229" s="2"/>
    </row>
    <row r="230" ht="14.25" customHeight="1">
      <c r="A230" s="60"/>
      <c r="B230" s="60"/>
      <c r="C230" s="60"/>
      <c r="D230" s="60"/>
      <c r="I230" s="60"/>
      <c r="J230" s="60"/>
      <c r="L230" s="2"/>
    </row>
    <row r="231" ht="14.25" customHeight="1">
      <c r="A231" s="60"/>
      <c r="B231" s="60"/>
      <c r="C231" s="60"/>
      <c r="D231" s="60"/>
      <c r="I231" s="60"/>
      <c r="J231" s="60"/>
      <c r="L231" s="2"/>
    </row>
    <row r="232" ht="14.25" customHeight="1">
      <c r="A232" s="60"/>
      <c r="B232" s="60"/>
      <c r="C232" s="60"/>
      <c r="D232" s="60"/>
      <c r="I232" s="60"/>
      <c r="J232" s="60"/>
      <c r="L232" s="2"/>
    </row>
    <row r="233" ht="14.25" customHeight="1">
      <c r="A233" s="60"/>
      <c r="B233" s="60"/>
      <c r="C233" s="60"/>
      <c r="D233" s="60"/>
      <c r="I233" s="60"/>
      <c r="J233" s="60"/>
      <c r="L233" s="2"/>
    </row>
    <row r="234" ht="14.25" customHeight="1">
      <c r="A234" s="60"/>
      <c r="B234" s="60"/>
      <c r="C234" s="60"/>
      <c r="D234" s="60"/>
      <c r="I234" s="60"/>
      <c r="J234" s="60"/>
      <c r="L234" s="2"/>
    </row>
    <row r="235" ht="14.25" customHeight="1">
      <c r="A235" s="60"/>
      <c r="B235" s="60"/>
      <c r="C235" s="60"/>
      <c r="D235" s="60"/>
      <c r="I235" s="60"/>
      <c r="J235" s="60"/>
      <c r="L235" s="2"/>
    </row>
    <row r="236" ht="14.25" customHeight="1">
      <c r="A236" s="60"/>
      <c r="B236" s="60"/>
      <c r="C236" s="60"/>
      <c r="D236" s="60"/>
      <c r="I236" s="60"/>
      <c r="J236" s="60"/>
      <c r="L236" s="2"/>
    </row>
    <row r="237" ht="14.25" customHeight="1">
      <c r="A237" s="60"/>
      <c r="B237" s="60"/>
      <c r="C237" s="60"/>
      <c r="D237" s="60"/>
      <c r="I237" s="60"/>
      <c r="J237" s="60"/>
      <c r="L237" s="2"/>
    </row>
    <row r="238" ht="14.25" customHeight="1">
      <c r="A238" s="60"/>
      <c r="B238" s="60"/>
      <c r="C238" s="60"/>
      <c r="D238" s="60"/>
      <c r="I238" s="60"/>
      <c r="J238" s="60"/>
      <c r="L238" s="2"/>
    </row>
    <row r="239" ht="14.25" customHeight="1">
      <c r="A239" s="60"/>
      <c r="B239" s="60"/>
      <c r="C239" s="60"/>
      <c r="D239" s="60"/>
      <c r="I239" s="60"/>
      <c r="J239" s="60"/>
      <c r="L239" s="2"/>
    </row>
    <row r="240" ht="14.25" customHeight="1">
      <c r="A240" s="60"/>
      <c r="B240" s="60"/>
      <c r="C240" s="60"/>
      <c r="D240" s="60"/>
      <c r="I240" s="60"/>
      <c r="J240" s="60"/>
      <c r="L240" s="2"/>
    </row>
    <row r="241" ht="14.25" customHeight="1">
      <c r="A241" s="60"/>
      <c r="B241" s="60"/>
      <c r="C241" s="60"/>
      <c r="D241" s="60"/>
      <c r="I241" s="60"/>
      <c r="J241" s="60"/>
      <c r="L241" s="2"/>
    </row>
    <row r="242" ht="14.25" customHeight="1">
      <c r="A242" s="60"/>
      <c r="B242" s="60"/>
      <c r="C242" s="60"/>
      <c r="D242" s="60"/>
      <c r="I242" s="60"/>
      <c r="J242" s="60"/>
      <c r="L242" s="2"/>
    </row>
    <row r="243" ht="14.25" customHeight="1">
      <c r="A243" s="60"/>
      <c r="B243" s="60"/>
      <c r="C243" s="60"/>
      <c r="D243" s="60"/>
      <c r="I243" s="60"/>
      <c r="J243" s="60"/>
      <c r="L243" s="2"/>
    </row>
    <row r="244" ht="14.25" customHeight="1">
      <c r="A244" s="60"/>
      <c r="B244" s="60"/>
      <c r="C244" s="60"/>
      <c r="D244" s="60"/>
      <c r="I244" s="60"/>
      <c r="J244" s="60"/>
      <c r="L244" s="2"/>
    </row>
    <row r="245" ht="14.25" customHeight="1">
      <c r="A245" s="60"/>
      <c r="B245" s="60"/>
      <c r="C245" s="60"/>
      <c r="D245" s="60"/>
      <c r="I245" s="60"/>
      <c r="J245" s="60"/>
      <c r="L245" s="2"/>
    </row>
    <row r="246" ht="14.25" customHeight="1">
      <c r="A246" s="60"/>
      <c r="B246" s="60"/>
      <c r="C246" s="60"/>
      <c r="D246" s="60"/>
      <c r="I246" s="60"/>
      <c r="J246" s="60"/>
      <c r="L246" s="2"/>
    </row>
    <row r="247" ht="14.25" customHeight="1">
      <c r="A247" s="60"/>
      <c r="B247" s="60"/>
      <c r="C247" s="60"/>
      <c r="D247" s="60"/>
      <c r="I247" s="60"/>
      <c r="J247" s="60"/>
      <c r="L247" s="2"/>
    </row>
    <row r="248" ht="14.25" customHeight="1">
      <c r="A248" s="60"/>
      <c r="B248" s="60"/>
      <c r="C248" s="60"/>
      <c r="D248" s="60"/>
      <c r="I248" s="60"/>
      <c r="J248" s="60"/>
      <c r="L248" s="2"/>
    </row>
    <row r="249" ht="14.25" customHeight="1">
      <c r="A249" s="60"/>
      <c r="B249" s="60"/>
      <c r="C249" s="60"/>
      <c r="D249" s="60"/>
      <c r="I249" s="60"/>
      <c r="J249" s="60"/>
      <c r="L249" s="2"/>
    </row>
    <row r="250" ht="14.25" customHeight="1">
      <c r="A250" s="60"/>
      <c r="B250" s="60"/>
      <c r="C250" s="60"/>
      <c r="D250" s="60"/>
      <c r="I250" s="60"/>
      <c r="J250" s="60"/>
      <c r="L250" s="2"/>
    </row>
    <row r="251" ht="14.25" customHeight="1">
      <c r="A251" s="60"/>
      <c r="B251" s="60"/>
      <c r="C251" s="60"/>
      <c r="D251" s="60"/>
      <c r="I251" s="60"/>
      <c r="J251" s="60"/>
      <c r="L251" s="2"/>
    </row>
    <row r="252" ht="14.25" customHeight="1">
      <c r="A252" s="60"/>
      <c r="B252" s="60"/>
      <c r="C252" s="60"/>
      <c r="D252" s="60"/>
      <c r="I252" s="60"/>
      <c r="J252" s="60"/>
      <c r="L252" s="2"/>
    </row>
    <row r="253" ht="14.25" customHeight="1">
      <c r="A253" s="60"/>
      <c r="B253" s="60"/>
      <c r="C253" s="60"/>
      <c r="D253" s="60"/>
      <c r="I253" s="60"/>
      <c r="J253" s="60"/>
      <c r="L253" s="2"/>
    </row>
    <row r="254" ht="14.25" customHeight="1">
      <c r="A254" s="60"/>
      <c r="B254" s="60"/>
      <c r="C254" s="60"/>
      <c r="D254" s="60"/>
      <c r="I254" s="60"/>
      <c r="J254" s="60"/>
      <c r="L254" s="2"/>
    </row>
    <row r="255" ht="14.25" customHeight="1">
      <c r="A255" s="60"/>
      <c r="B255" s="60"/>
      <c r="C255" s="60"/>
      <c r="D255" s="60"/>
      <c r="I255" s="60"/>
      <c r="J255" s="60"/>
      <c r="L255" s="2"/>
    </row>
    <row r="256" ht="14.25" customHeight="1">
      <c r="A256" s="60"/>
      <c r="B256" s="60"/>
      <c r="C256" s="60"/>
      <c r="D256" s="60"/>
      <c r="I256" s="60"/>
      <c r="J256" s="60"/>
      <c r="L256" s="2"/>
    </row>
    <row r="257" ht="14.25" customHeight="1">
      <c r="A257" s="60"/>
      <c r="B257" s="60"/>
      <c r="C257" s="60"/>
      <c r="D257" s="60"/>
      <c r="I257" s="60"/>
      <c r="J257" s="60"/>
      <c r="L257" s="2"/>
    </row>
    <row r="258" ht="14.25" customHeight="1">
      <c r="A258" s="60"/>
      <c r="B258" s="60"/>
      <c r="C258" s="60"/>
      <c r="D258" s="60"/>
      <c r="I258" s="60"/>
      <c r="J258" s="60"/>
      <c r="L258" s="2"/>
    </row>
    <row r="259" ht="14.25" customHeight="1">
      <c r="A259" s="60"/>
      <c r="B259" s="60"/>
      <c r="C259" s="60"/>
      <c r="D259" s="60"/>
      <c r="I259" s="60"/>
      <c r="J259" s="60"/>
      <c r="L259" s="2"/>
    </row>
    <row r="260" ht="14.25" customHeight="1">
      <c r="A260" s="60"/>
      <c r="B260" s="60"/>
      <c r="C260" s="60"/>
      <c r="D260" s="60"/>
      <c r="I260" s="60"/>
      <c r="J260" s="60"/>
      <c r="L260" s="2"/>
    </row>
    <row r="261" ht="14.25" customHeight="1">
      <c r="A261" s="60"/>
      <c r="B261" s="60"/>
      <c r="C261" s="60"/>
      <c r="D261" s="60"/>
      <c r="I261" s="60"/>
      <c r="J261" s="60"/>
      <c r="L261" s="2"/>
    </row>
    <row r="262" ht="14.25" customHeight="1">
      <c r="A262" s="60"/>
      <c r="B262" s="60"/>
      <c r="C262" s="60"/>
      <c r="D262" s="60"/>
      <c r="I262" s="60"/>
      <c r="J262" s="60"/>
      <c r="L262" s="2"/>
    </row>
    <row r="263" ht="14.25" customHeight="1">
      <c r="A263" s="60"/>
      <c r="B263" s="60"/>
      <c r="C263" s="60"/>
      <c r="D263" s="60"/>
      <c r="I263" s="60"/>
      <c r="J263" s="60"/>
      <c r="L263" s="2"/>
    </row>
    <row r="264" ht="14.25" customHeight="1">
      <c r="A264" s="60"/>
      <c r="B264" s="60"/>
      <c r="C264" s="60"/>
      <c r="D264" s="60"/>
      <c r="I264" s="60"/>
      <c r="J264" s="60"/>
      <c r="L264" s="2"/>
    </row>
    <row r="265" ht="14.25" customHeight="1">
      <c r="A265" s="60"/>
      <c r="B265" s="60"/>
      <c r="C265" s="60"/>
      <c r="D265" s="60"/>
      <c r="I265" s="60"/>
      <c r="J265" s="60"/>
      <c r="L265" s="2"/>
    </row>
    <row r="266" ht="14.25" customHeight="1">
      <c r="A266" s="60"/>
      <c r="B266" s="60"/>
      <c r="C266" s="60"/>
      <c r="D266" s="60"/>
      <c r="I266" s="60"/>
      <c r="J266" s="60"/>
      <c r="L266" s="2"/>
    </row>
    <row r="267" ht="14.25" customHeight="1">
      <c r="A267" s="60"/>
      <c r="B267" s="60"/>
      <c r="C267" s="60"/>
      <c r="D267" s="60"/>
      <c r="I267" s="60"/>
      <c r="J267" s="60"/>
      <c r="L267" s="2"/>
    </row>
    <row r="268" ht="14.25" customHeight="1">
      <c r="A268" s="60"/>
      <c r="B268" s="60"/>
      <c r="C268" s="60"/>
      <c r="D268" s="60"/>
      <c r="I268" s="60"/>
      <c r="J268" s="60"/>
      <c r="L268" s="2"/>
    </row>
    <row r="269" ht="14.25" customHeight="1">
      <c r="A269" s="60"/>
      <c r="B269" s="60"/>
      <c r="C269" s="60"/>
      <c r="D269" s="60"/>
      <c r="I269" s="60"/>
      <c r="J269" s="60"/>
      <c r="L269" s="2"/>
    </row>
    <row r="270" ht="14.25" customHeight="1">
      <c r="A270" s="60"/>
      <c r="B270" s="60"/>
      <c r="C270" s="60"/>
      <c r="D270" s="60"/>
      <c r="I270" s="60"/>
      <c r="J270" s="60"/>
      <c r="L270" s="2"/>
    </row>
    <row r="271" ht="14.25" customHeight="1">
      <c r="A271" s="60"/>
      <c r="B271" s="60"/>
      <c r="C271" s="60"/>
      <c r="D271" s="60"/>
      <c r="I271" s="60"/>
      <c r="J271" s="60"/>
      <c r="L271" s="2"/>
    </row>
    <row r="272" ht="14.25" customHeight="1">
      <c r="A272" s="60"/>
      <c r="B272" s="60"/>
      <c r="C272" s="60"/>
      <c r="D272" s="60"/>
      <c r="I272" s="60"/>
      <c r="J272" s="60"/>
      <c r="L272" s="2"/>
    </row>
    <row r="273" ht="14.25" customHeight="1">
      <c r="A273" s="60"/>
      <c r="B273" s="60"/>
      <c r="C273" s="60"/>
      <c r="D273" s="60"/>
      <c r="I273" s="60"/>
      <c r="J273" s="60"/>
      <c r="L273" s="2"/>
    </row>
    <row r="274" ht="14.25" customHeight="1">
      <c r="A274" s="60"/>
      <c r="B274" s="60"/>
      <c r="C274" s="60"/>
      <c r="D274" s="60"/>
      <c r="I274" s="60"/>
      <c r="J274" s="60"/>
      <c r="L274" s="2"/>
    </row>
    <row r="275" ht="14.25" customHeight="1">
      <c r="A275" s="60"/>
      <c r="B275" s="60"/>
      <c r="C275" s="60"/>
      <c r="D275" s="60"/>
      <c r="I275" s="60"/>
      <c r="J275" s="60"/>
      <c r="L275" s="2"/>
    </row>
    <row r="276" ht="14.25" customHeight="1">
      <c r="A276" s="60"/>
      <c r="B276" s="60"/>
      <c r="C276" s="60"/>
      <c r="D276" s="60"/>
      <c r="I276" s="60"/>
      <c r="J276" s="60"/>
      <c r="L276" s="2"/>
    </row>
    <row r="277" ht="14.25" customHeight="1">
      <c r="A277" s="60"/>
      <c r="B277" s="60"/>
      <c r="C277" s="60"/>
      <c r="D277" s="60"/>
      <c r="I277" s="60"/>
      <c r="J277" s="60"/>
      <c r="L277" s="2"/>
    </row>
    <row r="278" ht="14.25" customHeight="1">
      <c r="A278" s="60"/>
      <c r="B278" s="60"/>
      <c r="C278" s="60"/>
      <c r="D278" s="60"/>
      <c r="I278" s="60"/>
      <c r="J278" s="60"/>
      <c r="L278" s="2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5:F75"/>
    <mergeCell ref="E76:F76"/>
    <mergeCell ref="D77:D78"/>
    <mergeCell ref="E77:F77"/>
    <mergeCell ref="E78:F78"/>
    <mergeCell ref="F3:F4"/>
    <mergeCell ref="G3:G4"/>
    <mergeCell ref="E38:F38"/>
    <mergeCell ref="E39:F39"/>
    <mergeCell ref="D40:D41"/>
    <mergeCell ref="E40:F40"/>
    <mergeCell ref="A42:I42"/>
  </mergeCells>
  <hyperlinks>
    <hyperlink r:id="rId1" ref="D40"/>
    <hyperlink r:id="rId2" ref="C49"/>
    <hyperlink r:id="rId3" ref="C56"/>
    <hyperlink r:id="rId4" ref="C63"/>
    <hyperlink r:id="rId5" ref="C70"/>
    <hyperlink r:id="rId6" ref="D77"/>
  </hyperlinks>
  <printOptions/>
  <pageMargins bottom="0.39" footer="0.0" header="0.0" left="0.17" right="0.17" top="0.48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9.29"/>
    <col customWidth="1" min="3" max="3" width="68.43"/>
    <col customWidth="1" min="4" max="6" width="14.4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22.5" customHeight="1">
      <c r="A4" s="61"/>
      <c r="B4" s="62" t="s">
        <v>282</v>
      </c>
      <c r="C4" s="63" t="s">
        <v>283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22.5" customHeight="1">
      <c r="A5" s="61"/>
      <c r="B5" s="64" t="s">
        <v>2</v>
      </c>
      <c r="C5" s="65">
        <v>1.0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22.5" customHeight="1">
      <c r="A6" s="61"/>
      <c r="B6" s="66" t="s">
        <v>3</v>
      </c>
      <c r="C6" s="67" t="str">
        <f>vlookup($C$5,'Sun 6'!B:J,2,0)</f>
        <v>UNIT 0
HIGH TECHNOLOGY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22.5" customHeight="1">
      <c r="A7" s="61"/>
      <c r="B7" s="64" t="s">
        <v>284</v>
      </c>
      <c r="C7" s="67" t="str">
        <f>vlookup($C$5,'Sun 6'!B:J,3,0)</f>
        <v>4-5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60.0" customHeight="1">
      <c r="A8" s="61"/>
      <c r="B8" s="68" t="s">
        <v>285</v>
      </c>
      <c r="C8" s="67" t="str">
        <f>vlookup($C$5,'Sun 6'!B:J,4,0)</f>
        <v>- Introduce the topic, use mind-mapping to explore technology words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41.25" customHeight="1">
      <c r="A9" s="61"/>
      <c r="B9" s="69" t="s">
        <v>286</v>
      </c>
      <c r="C9" s="67" t="str">
        <f>vlookup($C$5,'Sun 6'!B:J,5,0)</f>
        <v>- Present simple tense review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22.5" hidden="1" customHeight="1">
      <c r="A10" s="61"/>
      <c r="B10" s="68"/>
      <c r="C10" s="67" t="str">
        <f>vlookup($C$5,'Sun 6'!B:J,2,0)</f>
        <v>UNIT 0
HIGH TECHNOLOGY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22.5" customHeight="1">
      <c r="A11" s="61"/>
      <c r="B11" s="69" t="s">
        <v>287</v>
      </c>
      <c r="C11" s="67" t="str">
        <f>vlookup($C$5,'Sun 6'!B:J,6,0)</f>
        <v>- Students can name all technology words as many as they can. (Use mind-mapping) 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22.5" customHeight="1">
      <c r="A12" s="61"/>
      <c r="B12" s="70" t="s">
        <v>288</v>
      </c>
      <c r="C12" s="67" t="str">
        <f>vlookup($C$5,'Sun 6'!B:J,7,0)</f>
        <v>4-5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
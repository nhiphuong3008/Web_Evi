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2" sheetId="1" r:id="rId5"/>
    <sheet state="visible" name="Lesson Report Sun 2" sheetId="2" r:id="rId6"/>
    <sheet state="visible" name="Sửa" sheetId="3" r:id="rId7"/>
  </sheets>
  <definedNames/>
  <calcPr/>
</workbook>
</file>

<file path=xl/sharedStrings.xml><?xml version="1.0" encoding="utf-8"?>
<sst xmlns="http://schemas.openxmlformats.org/spreadsheetml/2006/main" count="972" uniqueCount="655">
  <si>
    <t>DATES</t>
  </si>
  <si>
    <t xml:space="preserve"> SUN 2 SYLLABUS </t>
  </si>
  <si>
    <t>LESSONS</t>
  </si>
  <si>
    <t>UNITS</t>
  </si>
  <si>
    <t>Student's book &amp; Activity book 
 PAGES</t>
  </si>
  <si>
    <t>Student's book &amp; Activity book 
PAGES</t>
  </si>
  <si>
    <t>CONTENTS</t>
  </si>
  <si>
    <t>Classroom materials</t>
  </si>
  <si>
    <t>Vocabulary</t>
  </si>
  <si>
    <t>Structures</t>
  </si>
  <si>
    <t>Lesson target</t>
  </si>
  <si>
    <t>Grammar/Structures</t>
  </si>
  <si>
    <t>Grade</t>
  </si>
  <si>
    <t>Homework</t>
  </si>
  <si>
    <t>Weekly Practice</t>
  </si>
  <si>
    <t>SUN 2</t>
  </si>
  <si>
    <t>Handbook</t>
  </si>
  <si>
    <t>E-learning
 (Assigned by CM)</t>
  </si>
  <si>
    <t xml:space="preserve">Home work </t>
  </si>
  <si>
    <t>E-learning
(Assigned by CM)</t>
  </si>
  <si>
    <t>UNIT 1
HELLO AGAIN!</t>
  </si>
  <si>
    <r>
      <rPr>
        <rFont val="Calibri"/>
        <b/>
        <color theme="1"/>
        <sz val="12.0"/>
      </rPr>
      <t>Class rules:</t>
    </r>
    <r>
      <rPr>
        <rFont val="Calibri"/>
        <color theme="1"/>
        <sz val="12.0"/>
      </rPr>
      <t xml:space="preserve">
1. Be quiet!
2. Sit nicely.
3. Raise your hand 
4. Speak English.
5. Listen to teacher
</t>
    </r>
    <r>
      <rPr>
        <rFont val="Calibri"/>
        <b/>
        <color theme="1"/>
        <sz val="12.0"/>
      </rPr>
      <t>- Star's family members:</t>
    </r>
    <r>
      <rPr>
        <rFont val="Calibri"/>
        <color theme="1"/>
        <sz val="12.0"/>
      </rPr>
      <t xml:space="preserve">
Mr. Star, Mrs. Star, Suzy, Simon, Stella, Maskman, Monty, Grandma Star, Grandpa Star</t>
    </r>
  </si>
  <si>
    <t>LESSON 1</t>
  </si>
  <si>
    <t>- Who is this ?
What is your name?
- Hello! I'm ….
How old are you?
- I am...
- This is …..</t>
  </si>
  <si>
    <t>UNIT 1
 HELLO AGAIN!</t>
  </si>
  <si>
    <t>Introduce students name,age  and remember the Star's family members
Remember the class rules</t>
  </si>
  <si>
    <t>- Star's family members:
 Mr. Star, Mrs. Star, Suzy, Simon, Stella, Maskman, Monty, Grandma Star, Grandpa Star</t>
  </si>
  <si>
    <t>- Who is this ?
 - Hello! I'm ….
 - This is …..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</si>
  <si>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Good afternoon. Nice to meet you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https://www.youtube.com/watch?v=pwj1cQiwKBg&amp;list=PLii5rkhsE0Ld3xCgxG6j5fw7RlG2S5czO&amp;index=64</t>
    </r>
    <r>
      <rPr>
        <rFont val="Calibri"/>
        <color theme="1"/>
        <sz val="12.0"/>
      </rPr>
      <t xml:space="preserve"> 
(Teacher prepares the Questions list (if needed) ) "
</t>
    </r>
  </si>
  <si>
    <t>Introduce students name and remember the Star's family members</t>
  </si>
  <si>
    <t>Vocabulary 2</t>
  </si>
  <si>
    <t>Student's book
 &amp; Activity's book pages</t>
  </si>
  <si>
    <t>LESSON 2</t>
  </si>
  <si>
    <t>- Review characters</t>
  </si>
  <si>
    <t>- What's your name?
 - How old are you?
 - Who's he/she?</t>
  </si>
  <si>
    <t>Introduce the student's age and practice using He and She.</t>
  </si>
  <si>
    <t>Grammar 1</t>
  </si>
  <si>
    <t>Handbook p.1</t>
  </si>
  <si>
    <t>LESSON 3</t>
  </si>
  <si>
    <t>- Aphabet
 - Colors: pink, green, grey, orange, red, brown, white, blue, yellow, black, purple.</t>
  </si>
  <si>
    <t>- What letter is it?
 + It's letter…..
 - What color is it?
 + It's ……
 - Can you spell "PURPLE" ?</t>
  </si>
  <si>
    <t>- Students review the alphabet and colors
 - Students can spell their names and vocabulary.</t>
  </si>
  <si>
    <r>
      <rPr>
        <rFont val="Calibri"/>
        <color theme="1"/>
        <sz val="12.0"/>
      </rPr>
      <t xml:space="preserve">- Review class rules and characters
- Practice singing the song: </t>
    </r>
    <r>
      <rPr>
        <rFont val="Calibri"/>
        <color rgb="FF1155CC"/>
        <sz val="12.0"/>
        <u/>
      </rPr>
      <t>What's your name?</t>
    </r>
    <r>
      <rPr>
        <rFont val="Calibri"/>
        <color rgb="FF1155CC"/>
        <sz val="12.0"/>
      </rPr>
      <t xml:space="preserve"> </t>
    </r>
    <r>
      <rPr>
        <rFont val="Calibri"/>
        <color rgb="FF000000"/>
        <sz val="12.0"/>
      </rPr>
      <t xml:space="preserve">
-</t>
    </r>
    <r>
      <rPr>
        <rFont val="Calibri"/>
        <color theme="1"/>
        <sz val="12.0"/>
      </rPr>
      <t xml:space="preserve"> Film a singing video 
- Introducing colors: pink, green, grey, orange, red, brown, white, blue, yellow, black, purple.</t>
    </r>
  </si>
  <si>
    <t>Vocabulary 1 &amp; 3
 Grammar 2</t>
  </si>
  <si>
    <t>LESSON 4</t>
  </si>
  <si>
    <r>
      <rPr>
        <rFont val="Calibri"/>
        <color rgb="FF1155CC"/>
        <sz val="12.0"/>
        <u/>
      </rPr>
      <t>- Pronunciation: long vowel sound "ay"</t>
    </r>
    <r>
      <rPr>
        <rFont val="Calibri"/>
        <b/>
        <color rgb="FF1155CC"/>
        <sz val="12.0"/>
        <u/>
      </rPr>
      <t xml:space="preserve">
</t>
    </r>
    <r>
      <rPr>
        <rFont val="Calibri"/>
        <color rgb="FF1155CC"/>
        <sz val="12.0"/>
        <u/>
      </rPr>
      <t xml:space="preserve"> - Prepositio</t>
    </r>
    <r>
      <rPr>
        <rFont val="Calibri"/>
        <sz val="12.0"/>
      </rPr>
      <t>n: On, in, under
 - Listen to the story
 -(45 minutes) Unit 1 Speaking video: Unit 1.pptx</t>
    </r>
  </si>
  <si>
    <t>What is your name?
- Hello! I'm ….
How old are you?
- I am...
- This is …..
- Who's he/she?</t>
  </si>
  <si>
    <t>Students can remember class rules and characters
Introduce the student's age and practice using He and She
Students be able to sing the song .</t>
  </si>
  <si>
    <r>
      <rPr>
        <rFont val="Calibri"/>
        <color theme="1"/>
        <sz val="12.0"/>
      </rPr>
      <t xml:space="preserve">Handbook p.2
</t>
    </r>
    <r>
      <rPr>
        <rFont val="Calibri"/>
        <b/>
        <color rgb="FFFF0000"/>
        <sz val="12.0"/>
      </rPr>
      <t xml:space="preserve">Quay video/ghi âm tại nhà: </t>
    </r>
    <r>
      <rPr>
        <rFont val="Calibri"/>
        <color theme="1"/>
        <sz val="12.0"/>
      </rPr>
      <t>Đọc to từ vựng đã học:
Class rules:
1. Be quiet!
2. Sit nicely.
3. Raise your hand 
4. Speak English.
5. Listen to teacher</t>
    </r>
  </si>
  <si>
    <t>BTVN - sách Handbook</t>
  </si>
  <si>
    <t>- Aphabet
- Colors: pink, green, grey, orange, red, brown, white, blue, yellow, black, purple.</t>
  </si>
  <si>
    <t>- /ay/ - snake, play, game
 - /ay/ - Four snakes are playing games!
 - The pencil is under the chair.</t>
  </si>
  <si>
    <t>- What letter is it?
+ It's letter…..
- What color is it?
+ It's ……
- Can you spell "PURPLE" ?</t>
  </si>
  <si>
    <t>- Student learn some words start with /ay/ sound in "Monty Phonics". Encourage students to know more words.
 - With the story, make 3 questions so students will answer them after the story
 - Students stand in front of the class and read the passage fluently (Teacher records the videos)</t>
  </si>
  <si>
    <t>- Students review the alphabet and colors
- Students can spell their names and vocabulary.</t>
  </si>
  <si>
    <t>Reading 1 &amp; 2
 Grammar 3</t>
  </si>
  <si>
    <t>Handbook p.3</t>
  </si>
  <si>
    <t>Vocabulary 1 &amp; 3
Grammar 2</t>
  </si>
  <si>
    <t xml:space="preserve"> E-learning</t>
  </si>
  <si>
    <t>Unit 10 Vocabulary 1 + 3</t>
  </si>
  <si>
    <t>8-9</t>
  </si>
  <si>
    <t>LESSON 5</t>
  </si>
  <si>
    <t>Project</t>
  </si>
  <si>
    <r>
      <rPr>
        <rFont val="Calibri"/>
        <color theme="1"/>
        <sz val="12.0"/>
      </rPr>
      <t>- Pronunciation: long vowel sound "ay"
- Preposition: On, in, under
- Listen to the story
-</t>
    </r>
    <r>
      <rPr>
        <rFont val="Calibri"/>
        <b/>
        <color theme="1"/>
        <sz val="12.0"/>
      </rPr>
      <t xml:space="preserve">(45 minutes) Unit 1 Speaking video: </t>
    </r>
    <r>
      <rPr>
        <rFont val="Calibri"/>
        <color theme="1"/>
        <sz val="12.0"/>
      </rPr>
      <t xml:space="preserve">Unit 1_Speaking Project_Hello again!.pptx </t>
    </r>
  </si>
  <si>
    <t>- Who is this ?
 - Hello! I'm ….
 - This is …..
 - What letter is it?
 + It's letter…..
 - What color is it?
 + It's ……
 - Can you spell "PURPLE" ?</t>
  </si>
  <si>
    <t>LESSON 6</t>
  </si>
  <si>
    <t>UNIT 2
 BACK TO SCHOOL</t>
  </si>
  <si>
    <t>- School things: Board, bookcase, ruler, cupboard, teacher, desk.
 - Numbers: 11 to 20</t>
  </si>
  <si>
    <t>- What is it ?
 It's a green cupboard.
 - How many desks are there?
 There are 11 desks.</t>
  </si>
  <si>
    <t>- Students remember the words
 - Students can use adjective to answer.
 - Students can use grammar correctly.</t>
  </si>
  <si>
    <t>- /ay/ - snake, play, game
- /ay/ - Four snakes are playing games!
- The pencil is under the chair.</t>
  </si>
  <si>
    <t>Vocabulary 2&amp;3</t>
  </si>
  <si>
    <t>- Student learn some words start with /ay/ sound in "Monty Phonics". Encourage students to know more words.
- With the story, make 3 questions so students will answer them after the story
- Students stand in front of the class and read the passage fluently (Teacher records the videos)</t>
  </si>
  <si>
    <t>Handbook p.4</t>
  </si>
  <si>
    <t>Reading 1 &amp; 2
Grammar 3</t>
  </si>
  <si>
    <t>REVIEW + UNIT TEST 1</t>
  </si>
  <si>
    <r>
      <rPr>
        <rFont val="Calibri"/>
        <color theme="1"/>
        <sz val="12.0"/>
      </rPr>
      <t xml:space="preserve">Review Unit 1 (vocabulary and structures)
- Star's family members
- Alphabet
- Colors
</t>
    </r>
    <r>
      <rPr>
        <rFont val="Calibri"/>
        <b/>
        <color rgb="FFFF0000"/>
        <sz val="12.0"/>
      </rPr>
      <t>- (45 minutes) Unit Test 2</t>
    </r>
  </si>
  <si>
    <t>- Who is this ?
- Hello! I'm ….
- This is …..
- What letter is it?
+ It's letter…..
- What color is it?
+ It's ……
- Can you spell "PURPLE" ?</t>
  </si>
  <si>
    <t>- Students review all vocabulary and structures</t>
  </si>
  <si>
    <t>Handbook p.5</t>
  </si>
  <si>
    <t xml:space="preserve">Game 1 and 2
</t>
  </si>
  <si>
    <t>UNIT 2
BACK TO SCHOOL</t>
  </si>
  <si>
    <t>10-11</t>
  </si>
  <si>
    <t>- School things: Board, bookcase, ruler, cupboard, teacher, desk.
- Numbers: 11 to 20</t>
  </si>
  <si>
    <t>- What is it ?
It's a green cupboard.
- How many desks are there?
There are 11 desks.
- What number is it? 
It's number......</t>
  </si>
  <si>
    <t>- Students remember the words
- Students can use adjective to answer.
- Students can use grammar correctly.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</si>
  <si>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crayons? 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https://www.youtube.com/watch?v=UFy02dqJCUs&amp;list=PLii5rkhsE0Ld3xCgxG6j5fw7RlG2S5czO&amp;index=103</t>
    </r>
    <r>
      <rPr>
        <rFont val="Calibri"/>
        <color theme="1"/>
        <sz val="12.0"/>
      </rPr>
      <t xml:space="preserve"> 
(Teacher prepares the Questions list (if needed) )</t>
    </r>
  </si>
  <si>
    <t xml:space="preserve">Handbook p.6
Chép từ vào vở, mỗi từ 2 dòng: board, bookcase, ruler </t>
  </si>
  <si>
    <t>12-13</t>
  </si>
  <si>
    <r>
      <rPr>
        <rFont val="Calibri"/>
        <color theme="1"/>
        <sz val="12.0"/>
      </rPr>
      <t>- Review school things
-</t>
    </r>
    <r>
      <rPr>
        <rFont val="Calibri"/>
        <b/>
        <color theme="1"/>
        <sz val="12.0"/>
      </rPr>
      <t xml:space="preserve"> Reading: Meera's classroom</t>
    </r>
    <r>
      <rPr>
        <rFont val="Calibri"/>
        <color theme="1"/>
        <sz val="12.0"/>
      </rPr>
      <t xml:space="preserve">
- Sing a song
</t>
    </r>
  </si>
  <si>
    <t>- How many …. are there?
There is/are…..</t>
  </si>
  <si>
    <t>- Students review the vocabulary
- Students practice the grammar in speaking and exercises.
- Students can sing a song together</t>
  </si>
  <si>
    <t xml:space="preserve">Handbook p.7
Chép từ vào vở, mỗi từ 2 dòng: cupboard, teacher,desk </t>
  </si>
  <si>
    <t>Vocabulary 1
Grammar 1</t>
  </si>
  <si>
    <t>14-15</t>
  </si>
  <si>
    <t>'- Pronunciation: Long vowel sound "ee"
- Listen to the story
- Watching video: The hokey cokey
- Practice singing the song: What is In Your Bag? Song with Matt | School Classroom Items | Learn English Kids - YouTube
- Film a singing video</t>
  </si>
  <si>
    <t>LESSON 7</t>
  </si>
  <si>
    <t>- Review school things
 - Reading: Meera's classroom
 - Sing a song</t>
  </si>
  <si>
    <t>- How many …. are there?
 There is/are…..</t>
  </si>
  <si>
    <t>- Students review the vocabulary
 - Students practice the grammar in speaking and exercises.
 - Students can sing a song together</t>
  </si>
  <si>
    <t>Vocabulary 1
 Grammar 1</t>
  </si>
  <si>
    <t>LESSON 8</t>
  </si>
  <si>
    <t>- Pronunciation: Long vowel sound "ee"
 - Listen to the story
 - Watching video: The hokey cokey</t>
  </si>
  <si>
    <t>- /ee/ - three, teacher, tree
 Three teachers sleeping in a tree
 - Review there is/are</t>
  </si>
  <si>
    <t>- Student learn some words start with /ee/ sound in "Monty's phonics". 
 - With the story, make 3 questions so students answer them after the story
 - With the videos, students can understand and play the game.</t>
  </si>
  <si>
    <t>Grammar 2
 Reading 1</t>
  </si>
  <si>
    <t>- /ee/ - three, teacher, tree
Three teachers sleeping in a tree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</si>
  <si>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</si>
  <si>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r>
      <rPr>
        <rFont val="Calibri"/>
        <color theme="1"/>
        <sz val="12.0"/>
      </rPr>
      <t xml:space="preserve">Handbook p.8
</t>
    </r>
    <r>
      <rPr>
        <rFont val="Calibri"/>
        <b/>
        <color rgb="FFFF0000"/>
        <sz val="12.0"/>
      </rPr>
      <t xml:space="preserve">Quay video/ghi âm tại nhà: </t>
    </r>
    <r>
      <rPr>
        <rFont val="Calibri"/>
        <color theme="1"/>
        <sz val="12.0"/>
      </rPr>
      <t xml:space="preserve">Đọc to từ vựng đã học Board, bookcase, ruler, cupboard, teacher, desk </t>
    </r>
  </si>
  <si>
    <t>Grammar 2
Reading 1</t>
  </si>
  <si>
    <t>LESSON 9</t>
  </si>
  <si>
    <t>16-17</t>
  </si>
  <si>
    <r>
      <rPr>
        <rFont val="Calibri"/>
        <color rgb="FF1155CC"/>
        <sz val="12.0"/>
        <u/>
      </rPr>
      <t>- Marie's math: Block graphs</t>
    </r>
    <r>
      <rPr>
        <rFont val="Calibri"/>
        <b/>
        <color rgb="FF1155CC"/>
        <sz val="12.0"/>
        <u/>
      </rPr>
      <t xml:space="preserve">
 - Fruit: oranges, bananas, apples, </t>
    </r>
    <r>
      <rPr>
        <rFont val="Calibri"/>
        <color rgb="FF1155CC"/>
        <sz val="12.0"/>
        <u/>
      </rPr>
      <t>pears, pine</t>
    </r>
    <r>
      <rPr>
        <rFont val="Calibri"/>
        <sz val="12.0"/>
      </rPr>
      <t>apples, lemons
 - Trevor's value: Be polite
 -(45 minutes) Unit 2 Speaking video: Unit 2.pptx</t>
    </r>
  </si>
  <si>
    <r>
      <rPr>
        <rFont val="Calibri"/>
        <color theme="1"/>
        <sz val="12.0"/>
      </rPr>
      <t xml:space="preserve">- Marie's math: Block graphs
- Fruit: oranges, bananas, apples, pears, pineapples, lemons
- Trevor's value: Be polite
</t>
    </r>
    <r>
      <rPr>
        <rFont val="Calibri"/>
        <b/>
        <color theme="1"/>
        <sz val="12.0"/>
      </rPr>
      <t>-(45 minutes) Unit 2 Speaking video</t>
    </r>
    <r>
      <rPr>
        <rFont val="Calibri"/>
        <color theme="1"/>
        <sz val="12.0"/>
      </rPr>
      <t>: Unit 2_Speaking Project_Back to school.pptx</t>
    </r>
  </si>
  <si>
    <t>- Can you … please?
Yes, of course.
- Can I come in?
Yes, come in.
- After you. Thank you 
- What fruit is it?
It is ... / They are ...</t>
  </si>
  <si>
    <t>- Students can use "there is/are" to talk about the block graph
- Understand the value of lesson
- Students stand in front of the class and read the passage fluently (Teacher records the videos)</t>
  </si>
  <si>
    <t>Handbook p.9
Chép từ vào vở, mỗi từ 1 dòng: oranges, bananas, apples, pears, pineapples, lemons</t>
  </si>
  <si>
    <t>Grammar 3
Reading 2</t>
  </si>
  <si>
    <t>- Can you … please?
 Yes, of course.
 - Can you come in?
 Yes, come in.</t>
  </si>
  <si>
    <t>- Students can use "there is/are" to talk about the block graph
 - Understand the value of lesson
 - Students stand in front of the class and read the passage fluently (Teacher records the videos)</t>
  </si>
  <si>
    <t>Grammar 3
 Reading 2</t>
  </si>
  <si>
    <t>REVIEW + TEST</t>
  </si>
  <si>
    <t>Review Unit 2 (vocabulary and structures)
- School's things
- Numbers: 11 to 20</t>
  </si>
  <si>
    <t>- What is it ?
It's a green cupboard.
- How many …. are there?
There is/are…..</t>
  </si>
  <si>
    <t>Handbook p.10</t>
  </si>
  <si>
    <t>LESSON 10</t>
  </si>
  <si>
    <t>Game 1 and 2</t>
  </si>
  <si>
    <t>- What is it ?
 It's a green cupboard.
 - How many …. are there?
 There is/are…..</t>
  </si>
  <si>
    <t>UNIT 3
PLAY TIME!</t>
  </si>
  <si>
    <t>- Toys: kite, watch, lorry, alien, robot, camera, computer game</t>
  </si>
  <si>
    <t>- What is it? It's a….
- Do you like….?
Yes, I do./ No, I don't.</t>
  </si>
  <si>
    <t>Students understand the topic and remember the words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</si>
  <si>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I like soccer. Let's play soccer 
Sample video</t>
    </r>
    <r>
      <rPr>
        <rFont val="Calibri"/>
        <color theme="1"/>
        <sz val="12.0"/>
      </rPr>
      <t xml:space="preserve">: </t>
    </r>
    <r>
      <rPr>
        <rFont val="Calibri"/>
        <color rgb="FF1155CC"/>
        <sz val="12.0"/>
        <u/>
      </rPr>
      <t>https://www.youtube.com/watch?v=xYGlhOR86mM&amp;list=PLii5rkhsE0Ld3xCgxG6j5fw7RlG2S5czO&amp;index=102</t>
    </r>
    <r>
      <rPr>
        <rFont val="Calibri"/>
        <color theme="1"/>
        <sz val="12.0"/>
      </rPr>
      <t xml:space="preserve"> 
(Teacher prepares the Questions list (if needed) )"
</t>
    </r>
  </si>
  <si>
    <t>LESSON 11</t>
  </si>
  <si>
    <t>LESSON 31</t>
  </si>
  <si>
    <t>REVIEW + TEST U1+U2</t>
  </si>
  <si>
    <t>4-17</t>
  </si>
  <si>
    <t>Review all vocabularies of Unit 1 and 2</t>
  </si>
  <si>
    <t>Handbook p.11
Chép từ vào vở, mỗi từ 2 dòng: kite,watch,lorry</t>
  </si>
  <si>
    <t>- Who is this ?
 - Hello! I'm ….
 - This is …..
 - What letter is it?
 + It's letter…..
 - What color is it?
 + It's ……
 - Can you spell "PURPLE" ?
 - What is it ?
 It's a green cupboard.
 - How many …. are there?
 There is/are…..</t>
  </si>
  <si>
    <t>Vocabulary 3</t>
  </si>
  <si>
    <t>- Students review the lesson contents of Unit 1 &amp; 2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</si>
  <si>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1&amp;2</t>
    </r>
  </si>
  <si>
    <t>- Review Toys
- Review numbers: 11 to 20</t>
  </si>
  <si>
    <t>- This is a robot.
- These are dolls.</t>
  </si>
  <si>
    <t>Students review the words and use grammar correctly.</t>
  </si>
  <si>
    <t>Handbook p.12
Chép từ vào vở, mỗi từ 2 dòng: alien,robot, camera, computer game</t>
  </si>
  <si>
    <t>18 - 20</t>
  </si>
  <si>
    <t>'- Review Toys: kite, watch, lorry, alien, robot, camera, computer game 
- Sing a song:  I Have A Toy | To The Tune of "I Have A Pet" by Super Simple Songs | Noodle &amp; Pals - YouTube</t>
  </si>
  <si>
    <t>Unit 1-2
 Game 1 &amp; 2</t>
  </si>
  <si>
    <t>- Whose is this?
It's ….'s.
- Whose are these?
They are …'s.</t>
  </si>
  <si>
    <t>- Student can use grammar correctly.
- Students can sing a song together</t>
  </si>
  <si>
    <t>Handbook p.13</t>
  </si>
  <si>
    <t>Vocabulary 2
Grammar 2</t>
  </si>
  <si>
    <t>LESSON 12</t>
  </si>
  <si>
    <t>UNIT 3
 PLAY TIME!</t>
  </si>
  <si>
    <t>- What is it? It's a….
 - Do you like….?
 Yes, I do./ No, I don't.</t>
  </si>
  <si>
    <t>22-23</t>
  </si>
  <si>
    <r>
      <rPr>
        <rFont val="Calibri"/>
        <color theme="1"/>
        <sz val="12.0"/>
        <u/>
      </rPr>
      <t>''- Pronunciation: Long vowel sound "ai"
- Listen to the stor</t>
    </r>
    <r>
      <rPr>
        <rFont val="Calibri"/>
        <b/>
        <color theme="1"/>
        <sz val="12.0"/>
        <u/>
      </rPr>
      <t>y
-(45 minutes) Unit 3 Speaking video</t>
    </r>
    <r>
      <rPr>
        <rFont val="Calibri"/>
        <color theme="1"/>
        <sz val="12.0"/>
        <u/>
      </rPr>
      <t>: Unit 3_Speaking Project_Play time.pptx</t>
    </r>
  </si>
  <si>
    <t>/ai/ - fly, five, kite
I'm flying my five white kites.</t>
  </si>
  <si>
    <t>- Student learn some words start with /ai/ sound in "Monty's phonics".
- With the story, make 3 questions so students answer them after the story
- Students stand in front of the class and read the passage fluently (Teacher records the videos)</t>
  </si>
  <si>
    <r>
      <rPr>
        <rFont val="Calibri"/>
        <color theme="1"/>
        <sz val="12.0"/>
      </rPr>
      <t xml:space="preserve">Handbook p.14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kite, watch, lorry, alien, robot, camera, computer game</t>
    </r>
  </si>
  <si>
    <t>Grammar 3
Reading 1 &amp; 2</t>
  </si>
  <si>
    <t>REVIEW + UNIT TEST 3</t>
  </si>
  <si>
    <r>
      <rPr>
        <rFont val="Calibri"/>
        <color theme="1"/>
        <sz val="12.0"/>
      </rPr>
      <t xml:space="preserve">Review Unit 3 (vocabulary and structures)
- Toys
- Numbers: 11 to 20
</t>
    </r>
    <r>
      <rPr>
        <rFont val="Calibri"/>
        <b/>
        <color rgb="FFFF0000"/>
        <sz val="12.0"/>
      </rPr>
      <t xml:space="preserve">- Unit Test 3 </t>
    </r>
  </si>
  <si>
    <t>- This is a robot.
- These are dolls.
- Whose is this?
It's ….'s.
- Whose are these?
They are …'s.</t>
  </si>
  <si>
    <t>Handbook p.15</t>
  </si>
  <si>
    <t>LESSON 13</t>
  </si>
  <si>
    <t>UNIT 4
AT HOME</t>
  </si>
  <si>
    <t>24-25</t>
  </si>
  <si>
    <t>- Things in a house: mirror, mat, sofa, phone, lamp, clock.
- Review rooms in a house.</t>
  </si>
  <si>
    <t>- Review Toys
 - Review numbers: 11 to 20</t>
  </si>
  <si>
    <t>- This is a robot.
 - These are dolls.</t>
  </si>
  <si>
    <t>- What is it? It's a...
- There is…..in the living room.</t>
  </si>
  <si>
    <t>Students remember the words and use them with structure correctly.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</si>
  <si>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What's this?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https://www.youtube.com/watch?v=j-XXk3dVeag&amp;list=PLii5rkhsE0Ld3xCgxG6j5fw7RlG2S5czO&amp;index=63</t>
    </r>
    <r>
      <rPr>
        <rFont val="Calibri"/>
        <color theme="1"/>
        <sz val="12.0"/>
      </rPr>
      <t xml:space="preserve"> 
(Teacher prepares the Questions list (if needed) )"
</t>
    </r>
  </si>
  <si>
    <t>LESSON 14</t>
  </si>
  <si>
    <t>- Review Toys
 - Sing a song</t>
  </si>
  <si>
    <t>- Whose is this?
 It's ….'s.
 - Whose are these?
 They are …'s.</t>
  </si>
  <si>
    <t>- Student can use grammar correctly.
 - Students can sing a song together</t>
  </si>
  <si>
    <t xml:space="preserve">Handbook p.16
Chép từ vào vở, mỗi từ 2 dòng: mirror, mat, sofa </t>
  </si>
  <si>
    <t>Vocabulary 2
 Grammar 2</t>
  </si>
  <si>
    <t>26-27</t>
  </si>
  <si>
    <t>- Review things in a house
- Sing a song
- Possessive pronouns: Mine, yours, his, hers</t>
  </si>
  <si>
    <t>- Are those blue socks yours?
+ It's mine/yours.
+ It's not mine/yours.
- Which bag is yours?
+ The red one's mine.</t>
  </si>
  <si>
    <t>- Student can use grammar correctly
- Students can sing a song together</t>
  </si>
  <si>
    <t>LESSON 15</t>
  </si>
  <si>
    <t>Handbook p.17
Chép từ vào vở, mỗi từ 2 dòng: phone, lamp, clock</t>
  </si>
  <si>
    <t>Vocabulary 1
Grammar 3</t>
  </si>
  <si>
    <r>
      <rPr>
        <rFont val="Calibri"/>
        <color rgb="FF1155CC"/>
        <sz val="12.0"/>
        <u/>
      </rPr>
      <t xml:space="preserve">'- Pronunciation: Long vowel sound "ai"
</t>
    </r>
    <r>
      <rPr>
        <rFont val="Calibri"/>
        <b/>
        <color rgb="FF1155CC"/>
        <sz val="12.0"/>
        <u/>
      </rPr>
      <t xml:space="preserve"> </t>
    </r>
    <r>
      <rPr>
        <rFont val="Calibri"/>
        <color rgb="FF1155CC"/>
        <sz val="12.0"/>
        <u/>
      </rPr>
      <t>- Listen to t</t>
    </r>
    <r>
      <rPr>
        <rFont val="Calibri"/>
        <sz val="12.0"/>
      </rPr>
      <t>he story
 -(45 minutes) Unit 3 Speaking video: Unit 3.pptx</t>
    </r>
  </si>
  <si>
    <t>28-29</t>
  </si>
  <si>
    <t>- Pronunciation: Long vowel sound: "oa/oe/ow"
- Listen to the story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</si>
  <si>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</si>
  <si>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</si>
  <si>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t xml:space="preserve">Handbook p.18
</t>
  </si>
  <si>
    <t>Vocabulary 3
Grammar 2 &amp; 3</t>
  </si>
  <si>
    <t>/ai/ - fly, five, kite
 I'm flying my five white kites.</t>
  </si>
  <si>
    <t>30-31</t>
  </si>
  <si>
    <t>- Student learn some words start with /ai/ sound in "Monty's phonics".
 - With the story, make 3 questions so students answer them after the story
 - Students stand in front of the class and read the passage fluently (Teacher records the videos)</t>
  </si>
  <si>
    <t>Grammar 3
 Reading 1 &amp; 2</t>
  </si>
  <si>
    <r>
      <rPr>
        <rFont val="Calibri"/>
        <color theme="1"/>
        <sz val="12.0"/>
      </rPr>
      <t>- Marie's art: Origami
- Trevor values: Re-use and recycle
- New words: bottles, flowerpot, keyboard, plastic bags
-</t>
    </r>
    <r>
      <rPr>
        <rFont val="Calibri"/>
        <b/>
        <color theme="1"/>
        <sz val="12.0"/>
      </rPr>
      <t>(45 minutes) Unit 4 Speaking video</t>
    </r>
    <r>
      <rPr>
        <rFont val="Calibri"/>
        <color theme="1"/>
        <sz val="12.0"/>
      </rPr>
      <t>: Unit 4_Speaking Project_At home.pptx</t>
    </r>
  </si>
  <si>
    <t>LESSON 16</t>
  </si>
  <si>
    <t>- What's this? It's a…..
- What's it made from?
It's made from ….</t>
  </si>
  <si>
    <t>- This is a robot.
 - These are dolls.
 - Whose is this?
 It's ….'s.
 - Whose are these?
 They are …'s.</t>
  </si>
  <si>
    <t>- Students understand the topic (orgiami)
- Understnd the value of re-use and recycle.
- Students stand in front of the class and read the passage fluently (Teacher records the videos)</t>
  </si>
  <si>
    <r>
      <rPr>
        <rFont val="Calibri"/>
        <color theme="1"/>
        <sz val="12.0"/>
      </rPr>
      <t xml:space="preserve">Handbook p.19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 mirror, mat, sofa, phone, lamp, clock.</t>
    </r>
  </si>
  <si>
    <t>Grammar 1
Reading 1 &amp; 2</t>
  </si>
  <si>
    <t>REVIEW +  UNIT TEST 4</t>
  </si>
  <si>
    <t>Review Unit 4 (vocabulary and structures)
- Things in a house
- Rooms</t>
  </si>
  <si>
    <r>
      <rPr>
        <rFont val="Calibri"/>
        <b/>
        <color rgb="FFFF0000"/>
        <sz val="12.0"/>
      </rPr>
      <t xml:space="preserve">Creative Lesson: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 xml:space="preserve">Create your own Family Tree: </t>
    </r>
    <r>
      <rPr>
        <rFont val="Calibri"/>
        <color theme="1"/>
        <sz val="12.0"/>
      </rPr>
      <t xml:space="preserve">
Draw and write about your family on the Tree (Blank Template) then share about it: Small-Family-Tree-Template.pdf</t>
    </r>
  </si>
  <si>
    <t>LESSON 17</t>
  </si>
  <si>
    <t>UNIT 4
 AT HOME</t>
  </si>
  <si>
    <t>- Things in a house: mirror, mat, sofa, phone, lamp, clock.
 - Review rooms in a house.</t>
  </si>
  <si>
    <t>- What is it? It's a...
 - There is…..in the living room.</t>
  </si>
  <si>
    <t xml:space="preserve">Handbook p.20
</t>
  </si>
  <si>
    <t>LESSON 18</t>
  </si>
  <si>
    <t>UNIT 5
MEET MY FAMILY</t>
  </si>
  <si>
    <t>- Family members: mum, dad, grandma, baby, cousin</t>
  </si>
  <si>
    <t>- Who is this?
He/She is....</t>
  </si>
  <si>
    <t>Handbook p.21</t>
  </si>
  <si>
    <t>- Review things in a house
 - Sing a song
 - Possessive pronouns: Mine, yours, his, hers</t>
  </si>
  <si>
    <t>- Are those blue socks yours?
 + It's mine/yours.
 + It's not mine/yours.
 - Which bag is yours?
 + The red one's mine.</t>
  </si>
  <si>
    <t>- Student can use grammar correctly
 - Students can sing a song together</t>
  </si>
  <si>
    <t>Vocabulary 1
 Grammar 3</t>
  </si>
  <si>
    <t>- Review family members
- Learn about family tree</t>
  </si>
  <si>
    <t>- She is Lenny's mother.
- He is Lenny's father.</t>
  </si>
  <si>
    <t>Students review the vocabular and understand the family tree</t>
  </si>
  <si>
    <t>LESSON 19</t>
  </si>
  <si>
    <t>Handbook p.22
Chép từ vào vở, mỗi từ 01 dòng: mum, dad, grandma, baby, cousin</t>
  </si>
  <si>
    <t>Vocabulary 1
Grammar 2</t>
  </si>
  <si>
    <t>36-37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</si>
  <si>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</si>
  <si>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</si>
  <si>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</si>
  <si>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Handbook p.23</t>
  </si>
  <si>
    <t>Vocabulary 2
Grammar 3</t>
  </si>
  <si>
    <t>38-39</t>
  </si>
  <si>
    <r>
      <rPr>
        <rFont val="Calibri"/>
        <color theme="1"/>
        <sz val="12.0"/>
      </rPr>
      <t>- Pronunciation: long vowel sound "oo"
- Watch a story</t>
    </r>
    <r>
      <rPr>
        <rFont val="Calibri"/>
        <b/>
        <color theme="1"/>
        <sz val="12.0"/>
      </rPr>
      <t xml:space="preserve">
-(45 minutes) Unit 5 Speaking video</t>
    </r>
    <r>
      <rPr>
        <rFont val="Calibri"/>
        <color theme="1"/>
        <sz val="12.0"/>
      </rPr>
      <t>:
https://docUnit 5_Speaking Project_Meet my family.pptx</t>
    </r>
  </si>
  <si>
    <t>- Blue - Sue - Ruler
- Sue's got a big blue ruler.</t>
  </si>
  <si>
    <t>- Student learn some words start with /oo/ sounds in "Monty's phonics".
- With the story, make 3 questions so students answer them after the story
- Students stand in front of the class and read the passage fluently (Teacher records the videos)</t>
  </si>
  <si>
    <r>
      <rPr>
        <rFont val="Calibri"/>
        <color theme="1"/>
        <sz val="12.0"/>
      </rPr>
      <t xml:space="preserve">Handbook p.24
</t>
    </r>
    <r>
      <rPr>
        <rFont val="Calibri"/>
        <b/>
        <color rgb="FFFF0000"/>
        <sz val="12.0"/>
      </rPr>
      <t>Quay video/ghi âm tại nhà</t>
    </r>
    <r>
      <rPr>
        <rFont val="Calibri"/>
        <color theme="1"/>
        <sz val="12.0"/>
      </rPr>
      <t>: Đọc to các từ vựng đã học:  mum, dad, grandma, baby, cousin.</t>
    </r>
  </si>
  <si>
    <t>- Pronunciation: Long vowel sound: "oa/oe/ow"
 - Listen to the story</t>
  </si>
  <si>
    <t>/oe/ - phone
 /ow/ - yellow
 /oa/ - boat
 A phone in a yellow boat!
 - Review yours/mine.</t>
  </si>
  <si>
    <t>- Student learn some words start with /oe/, /ow/ and /oa/ sounds in "Monty's phonics".
 - With the story, make 3 questions so students answer them after the story
 - With videos, students can understand how to decorate a box</t>
  </si>
  <si>
    <t>Vocabulary 3
 Grammar 2 &amp; 3</t>
  </si>
  <si>
    <t>REVIEW + UNIT TEST 5</t>
  </si>
  <si>
    <r>
      <rPr>
        <rFont val="Calibri"/>
        <color theme="1"/>
        <sz val="12.0"/>
      </rPr>
      <t xml:space="preserve">Review Unit 5 (vocabulary and structures)
- Family members
</t>
    </r>
    <r>
      <rPr>
        <rFont val="Calibri"/>
        <b/>
        <color rgb="FFFF0000"/>
        <sz val="12.0"/>
      </rPr>
      <t>- (45 minutes) Unit Test 5</t>
    </r>
  </si>
  <si>
    <t>- She is Lenny's mother.
- He is Lenny's father.
- What's he/she doing?
He/She is getting/flying/...</t>
  </si>
  <si>
    <t>LESSON 20</t>
  </si>
  <si>
    <t xml:space="preserve">Handbook p.25
</t>
  </si>
  <si>
    <r>
      <rPr>
        <rFont val="Calibri"/>
        <color rgb="FF1155CC"/>
        <sz val="12.0"/>
        <u/>
      </rPr>
      <t>- Marie's art: Origami</t>
    </r>
    <r>
      <rPr>
        <rFont val="Calibri"/>
        <b/>
        <color rgb="FF1155CC"/>
        <sz val="12.0"/>
        <u/>
      </rPr>
      <t xml:space="preserve">
 - Trevor values: Re-use and recycl</t>
    </r>
    <r>
      <rPr>
        <rFont val="Calibri"/>
        <color rgb="FF1155CC"/>
        <sz val="12.0"/>
        <u/>
      </rPr>
      <t>e
 - New word</t>
    </r>
    <r>
      <rPr>
        <rFont val="Calibri"/>
        <sz val="12.0"/>
      </rPr>
      <t>s: bottles, flowerpot, keyboard, plastic bags
 -(45 minutes) Unit 4 Speaking video: Unit 4.pptx</t>
    </r>
  </si>
  <si>
    <t>UNIT 6
DINNER TIME</t>
  </si>
  <si>
    <t>40-41</t>
  </si>
  <si>
    <t>- What's this? It's a…..
 - What's it made from?
 It's made from ….</t>
  </si>
  <si>
    <t>- Food: Bread, water, milk, juice, chicken, eggs, chips, rice
- Day times: Morning, lunchtime, afternoon, evening
- Meals: Breakfast, lunch, dinner
- Sing a song activity</t>
  </si>
  <si>
    <t>- Students understand the topic (orgiami)
 - Understnd the value of re-use and recycle.
 - Students stand in front of the class and read the passage fluently (Teacher records the videos)</t>
  </si>
  <si>
    <t>- What's this food? It's ...
- What are these? They're ....
- I have breakfast in the morning.</t>
  </si>
  <si>
    <t>Grammar 1
 Reading 1 &amp; 2</t>
  </si>
  <si>
    <t>- Students remember the words
- Students know how to say the meal in different time of a day (breakfast for morning time, dinner for evening time,...)
- Students can sing a song together.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</si>
  <si>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May I take your order? 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https://www.youtube.com/watch?v=49QFHWIky-k&amp;list=PLii5rkhsE0Ld3xCgxG6j5fw7RlG2S5czO&amp;index=69</t>
    </r>
    <r>
      <rPr>
        <rFont val="Calibri"/>
        <color theme="1"/>
        <sz val="12.0"/>
      </rPr>
      <t xml:space="preserve"> 
(Teacher prepares the Questions list (if needed) )"
</t>
    </r>
  </si>
  <si>
    <t>LESSON 21</t>
  </si>
  <si>
    <t>Handbook p.26
Chép từ mới vào vở, mỗi từ 02 dòng: bread, milk, water, juice</t>
  </si>
  <si>
    <t>Vocabulary 2
Vocabulary 3</t>
  </si>
  <si>
    <t>LESSON 22</t>
  </si>
  <si>
    <t>42-43</t>
  </si>
  <si>
    <t>REVIEW + Test U3+U4</t>
  </si>
  <si>
    <t>- Review food, day times and meals
- Reading: A day of Alex</t>
  </si>
  <si>
    <t>18-31</t>
  </si>
  <si>
    <t>Can I have some...., please?
- Here you are.
- Sorry, I don't have.</t>
  </si>
  <si>
    <t>Review all vocabularies of Unit 3 and 4</t>
  </si>
  <si>
    <t>- Students can use structure to order the food they want.
- For reading part, students can write a short paragraph about their days</t>
  </si>
  <si>
    <t>- This is a robot.
 - These are dolls.
 - Whose is this?
 It's ….'s.
 - Whose are these?
 They are …'s.
 - Are those blue socks yours?
 + It's mine/yours.
 + It's not mine/yours.
 - Which bag is yours?
 + The red one's mine.</t>
  </si>
  <si>
    <t>Handbook p.27
Chép từ mới vào vở, mỗi từ 02 dòng: chicken, eggs, chips, rice</t>
  </si>
  <si>
    <t>- Students review the lesson contents of Unit 3 &amp; 4</t>
  </si>
  <si>
    <t>Grammar 1 &amp; 2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</si>
  <si>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3&amp;4</t>
    </r>
  </si>
  <si>
    <t>Unit 3-4
 Game 1 &amp; 2</t>
  </si>
  <si>
    <t>44-45</t>
  </si>
  <si>
    <t>- Pronunciation: /ch/
- Watch the story</t>
  </si>
  <si>
    <t>/ch/-/ch/-chicken, kitchen
The chickens are cooking in the kitchen.</t>
  </si>
  <si>
    <t>- Student learn some words start with /oo/ sounds in "Monty's phonics".
- With the story, make 3 questions so students answer them after the story
- With videos, students can understand the topic</t>
  </si>
  <si>
    <r>
      <rPr>
        <rFont val="Calibri"/>
        <b/>
        <color rgb="FFFF0000"/>
        <sz val="12.0"/>
      </rPr>
      <t xml:space="preserve">Draw your favorite meals and describe (CM prints the template) </t>
    </r>
    <r>
      <rPr>
        <rFont val="Calibri"/>
        <color theme="1"/>
        <sz val="12.0"/>
      </rPr>
      <t xml:space="preserve">
Draw a meal for elementary students Worksheet.jpg</t>
    </r>
  </si>
  <si>
    <t>LESSON 23</t>
  </si>
  <si>
    <t>UNIT 5
 MEET MY FAMILY</t>
  </si>
  <si>
    <t>- Family members: mum, dad, baby, grandma, baby, cousin</t>
  </si>
  <si>
    <t>- Who is this?
 He/She is....</t>
  </si>
  <si>
    <t>Handbook p.28</t>
  </si>
  <si>
    <t>Reading 1 &amp; 2</t>
  </si>
  <si>
    <t>LESSON 24</t>
  </si>
  <si>
    <t>- Review family members
 - Learn about family tree</t>
  </si>
  <si>
    <t>- She is Lenny's mother.
 - He is Lenny's father.</t>
  </si>
  <si>
    <t>46-47</t>
  </si>
  <si>
    <t>Vocabulary 1
 Grammar 2</t>
  </si>
  <si>
    <r>
      <rPr>
        <rFont val="Calibri"/>
        <color theme="1"/>
        <sz val="12.0"/>
      </rPr>
      <t>- Marie's science: Food
+ Animals, meat, plants, trees
- Trevor's value: Eat good foo</t>
    </r>
    <r>
      <rPr>
        <rFont val="Calibri"/>
        <b/>
        <color theme="1"/>
        <sz val="12.0"/>
      </rPr>
      <t>d
-(40 minutes) Unit 6 Speaking video</t>
    </r>
    <r>
      <rPr>
        <rFont val="Calibri"/>
        <color theme="1"/>
        <sz val="12.0"/>
      </rPr>
      <t>: Unit 6_Speaking Project_Dinner time.pptx</t>
    </r>
  </si>
  <si>
    <t>LESSON 25</t>
  </si>
  <si>
    <t>- Eggs are from animals.
- Carrots are from plants</t>
  </si>
  <si>
    <t>- Students understand different types of food.
- Students understand the value of the lesson.
- Students stand in front of the class and read the passage fluently (Teacher records the videos)</t>
  </si>
  <si>
    <t>- Verb: getting, throwing, catching, flying, talking, jumping, sitting, hitting, cleaning, running, kicking, sleeping
 - Sing a song</t>
  </si>
  <si>
    <t>- What's he/she doing?
 He/She is getting/flying/...</t>
  </si>
  <si>
    <t>- Students remember the verb.
 - Students can use grammar to talk about people in the picture correctly.
 - Students can sing a song together.</t>
  </si>
  <si>
    <r>
      <rPr>
        <rFont val="Calibri"/>
        <color theme="1"/>
        <sz val="12.0"/>
      </rPr>
      <t xml:space="preserve">Handbook p.29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  Bread, water, milk, juice, chicken, eggs, chips, rice</t>
    </r>
  </si>
  <si>
    <t>Vocabulary 2
 Grammar 3</t>
  </si>
  <si>
    <t>REVIEW + UNIT TEST 6</t>
  </si>
  <si>
    <t>Review Unit 6 (vocabulary and structures)
- Food
- Day times and Meals</t>
  </si>
  <si>
    <t>- What's this? It's ...
- What are these? They're ....
- I have breakfast in the morning.
Can I have some...., please?
- Here you are.
- Sorry, I don't have.</t>
  </si>
  <si>
    <t>LESSON 26</t>
  </si>
  <si>
    <t xml:space="preserve">Handbook p.30
</t>
  </si>
  <si>
    <r>
      <rPr>
        <rFont val="Calibri"/>
        <color rgb="FF1155CC"/>
        <sz val="12.0"/>
        <u/>
      </rPr>
      <t>- Pronunciation: long vowel sound "oo"</t>
    </r>
    <r>
      <rPr>
        <rFont val="Calibri"/>
        <b/>
        <color rgb="FF1155CC"/>
        <sz val="12.0"/>
        <u/>
      </rPr>
      <t xml:space="preserve">
 - Watch a story
 -(45 minutes) Uni</t>
    </r>
    <r>
      <rPr>
        <rFont val="Calibri"/>
        <color rgb="FF1155CC"/>
        <sz val="12.0"/>
        <u/>
      </rPr>
      <t>t</t>
    </r>
    <r>
      <rPr>
        <rFont val="Calibri"/>
        <sz val="12.0"/>
      </rPr>
      <t xml:space="preserve"> 5 Speaking video:
 Unit 5.pptx</t>
    </r>
  </si>
  <si>
    <t>REVIEW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</si>
  <si>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</si>
  <si>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Blue - Sue - Ruler
 - Sue's got a big blue ruler.</t>
  </si>
  <si>
    <t>- Student learn some words start with /oo/ sounds in "Monty's phonics".
 - With the story, make 3 questions so students answer them after the story
 - Students stand in front of the class and read the passage fluently (Teacher records the videos)</t>
  </si>
  <si>
    <t>Unit 1-2
Game 1 &amp; 2</t>
  </si>
  <si>
    <t>- This is a robot.
- These are dolls.
- Whose is this?
It's ….'s.
- Whose are these?
They are …'s.
- Are those blue socks yours?
+ It's mine/yours.
+ It's not mine/yours.
- Which bag is yours?
+ The red one's mine.</t>
  </si>
  <si>
    <t>LESSON 27</t>
  </si>
  <si>
    <t>Unit 3-4
Game 1 &amp; 2</t>
  </si>
  <si>
    <t>- She is Lenny's mother.
 - He is Lenny's father.
 - What's he/she doing?
 He/She is getting/flying/...</t>
  </si>
  <si>
    <t>34-47</t>
  </si>
  <si>
    <t>Review all vocabularies of Unit 5 and 6</t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</si>
  <si>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</si>
  <si>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</si>
  <si>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Unit 5-6
Game 1 &amp; 2</t>
  </si>
  <si>
    <t>LESSON 28</t>
  </si>
  <si>
    <t>MID-TERM</t>
  </si>
  <si>
    <t>UNIT 6
 DINNER TIME</t>
  </si>
  <si>
    <t>TEST</t>
  </si>
  <si>
    <t>- Food: Bread, water, milk, juice, chicken, eggs, chips, rice
 - Day times: Morning, lunchtime, afternoon, evening
 - Meals: Breakfast, lunch, dinner
 - Sing a song activity</t>
  </si>
  <si>
    <t>- What's this? It's ...
 - What are these? They're ....
 - I have breakfast in the morning.</t>
  </si>
  <si>
    <t>MID-TERM TEST - READING, WRITING AND SPEAKING
(Speaking test for students whose finish the reading and writing test early. Teachers prepare extra materials for students)</t>
  </si>
  <si>
    <t>- Students remember the words
 - Students know how to say the meal in different time of a day (breakfast for morning time, dinner for evening time,...)
 - Students can sing a song together.</t>
  </si>
  <si>
    <t>Vocabulary 2
 Vocabulary 3</t>
  </si>
  <si>
    <t>Fun for Starter
(21-25)</t>
  </si>
  <si>
    <t>MID-TERM SPEAKING TEST
(Speaking test for students whose aren't finished)</t>
  </si>
  <si>
    <t>Fun for Starter
(26-30)</t>
  </si>
  <si>
    <t>YLE MOVERS</t>
  </si>
  <si>
    <t xml:space="preserve">CAMBRIDGE A1 MOVERS MOCK TEST
Listening + Reading + Writing </t>
  </si>
  <si>
    <r>
      <rPr>
        <rFont val="Calibri"/>
        <b/>
        <color rgb="FFFF0000"/>
        <sz val="12.0"/>
      </rPr>
      <t xml:space="preserve">(55 minutes) CAMBRIDGE MOVERS MOCK TEST:
Link test: </t>
    </r>
    <r>
      <rPr>
        <rFont val="Calibri"/>
        <b/>
        <color rgb="FFFF0000"/>
        <sz val="12.0"/>
        <u/>
      </rPr>
      <t>A1 Movers</t>
    </r>
    <r>
      <rPr>
        <rFont val="Calibri"/>
        <b/>
        <color rgb="FFFF0000"/>
        <sz val="12.0"/>
      </rPr>
      <t xml:space="preserve"> 
(25 minutes) Test correction + Mini reflection</t>
    </r>
  </si>
  <si>
    <t>Fun for Starter
(31-35)</t>
  </si>
  <si>
    <t>UNIT  7
AT THE FARM</t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</si>
  <si>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</si>
  <si>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</si>
  <si>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</si>
  <si>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r>
      <rPr>
        <rFont val="Calibri"/>
        <b/>
        <color theme="1"/>
        <sz val="12.0"/>
      </rPr>
      <t xml:space="preserve">Doing the Quiz: </t>
    </r>
    <r>
      <rPr>
        <rFont val="Calibri"/>
        <color theme="1"/>
        <sz val="12.0"/>
      </rPr>
      <t xml:space="preserve">
Farm Animals Trivia Game_Unit 7 Sun 2.pptx</t>
    </r>
  </si>
  <si>
    <t>Handbook p.31
Chép từ mới vào vở, mỗi từ 02 dòng: sheep, duck, spider</t>
  </si>
  <si>
    <t>LESSON 29</t>
  </si>
  <si>
    <t>- Review food, day times and meals
 - Reading: A day of Alex</t>
  </si>
  <si>
    <t>Can I have some...., please?
 - Here you are.
 - Sorry, I don't have.</t>
  </si>
  <si>
    <t>- Students can use structure to order the food they want.
 - For reading part, students can write a short paragraph about their days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</si>
  <si>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</si>
  <si>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</si>
  <si>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</si>
  <si>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t>Handbook p.32
Chép từ mới vào vở, mỗi từ 02 dòng: frog, lizard, goat, cow</t>
  </si>
  <si>
    <t>LESSON 30</t>
  </si>
  <si>
    <t>- Pronunciation: /ch/
 - Watch the story</t>
  </si>
  <si>
    <t>/ch/-/ch/-chicken, kitchen
 The chickens are cooking in the kitchen.</t>
  </si>
  <si>
    <t>- Student learn some words start with /oo/ sounds in "Monty's phonics".
 - With the story, make 3 questions so students answer them after the story
 - With videos, students can understand the topic</t>
  </si>
  <si>
    <t>50-51</t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</si>
  <si>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</si>
  <si>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</si>
  <si>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</si>
  <si>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Handbook p.33</t>
  </si>
  <si>
    <t>Vocabulary 1
Grammar 1 &amp; 3</t>
  </si>
  <si>
    <r>
      <rPr>
        <rFont val="Calibri"/>
        <color rgb="FF1155CC"/>
        <sz val="12.0"/>
        <u/>
      </rPr>
      <t>- Marie's science: Food</t>
    </r>
    <r>
      <rPr>
        <rFont val="Calibri"/>
        <b/>
        <color rgb="FF1155CC"/>
        <sz val="12.0"/>
        <u/>
      </rPr>
      <t xml:space="preserve">
</t>
    </r>
    <r>
      <rPr>
        <rFont val="Calibri"/>
        <color rgb="FF1155CC"/>
        <sz val="12.0"/>
        <u/>
      </rPr>
      <t xml:space="preserve"> + Animals, m</t>
    </r>
    <r>
      <rPr>
        <rFont val="Calibri"/>
        <sz val="12.0"/>
      </rPr>
      <t>eat, plants, trees
 - Trevor's value: Eat good food
 -(40 minutes) Unit 6 Speaking video: Unit 6.pptx</t>
    </r>
  </si>
  <si>
    <t>52-53</t>
  </si>
  <si>
    <r>
      <rPr>
        <rFont val="Calibri"/>
        <color theme="1"/>
        <sz val="12.0"/>
        <u/>
      </rPr>
      <t>- Pronunciation: /sp/
- The story</t>
    </r>
    <r>
      <rPr>
        <rFont val="Calibri"/>
        <b/>
        <color theme="1"/>
        <sz val="12.0"/>
        <u/>
      </rPr>
      <t xml:space="preserve">
-(40 minutes) Unit 7 Speaking video</t>
    </r>
    <r>
      <rPr>
        <rFont val="Calibri"/>
        <color theme="1"/>
        <sz val="12.0"/>
        <u/>
      </rPr>
      <t>:Unit 7 _Speaking Project_At the farm.pptx</t>
    </r>
  </si>
  <si>
    <t>/sp/-/sp/-spider, sports
The spiders are sports stars
- They are big and grey.
- They've got long ears.</t>
  </si>
  <si>
    <t>- Eggs are from animals.
 - Carrots are from plants</t>
  </si>
  <si>
    <t>- Students understand different types of food.
 - Students understand the value of the lesson.
 - Students stand in front of the class and read the passage fluently (Teacher records the videos)</t>
  </si>
  <si>
    <t xml:space="preserve">- Student learn some words start with /sp/ sound in "Monty's phonics".
- With the story, make 3 question so students answer them after the story.
- Students stand in front of the class and read the passage fluently (Teacher records the videos)
- Students can use structures to describe animals.
</t>
  </si>
  <si>
    <r>
      <rPr>
        <rFont val="Calibri"/>
        <color theme="1"/>
        <sz val="12.0"/>
      </rPr>
      <t xml:space="preserve">Handbook p.34
</t>
    </r>
    <r>
      <rPr>
        <rFont val="Calibri"/>
        <b/>
        <color rgb="FFFF0000"/>
        <sz val="12.0"/>
      </rPr>
      <t>Quay video/ghi âm tại nhà</t>
    </r>
    <r>
      <rPr>
        <rFont val="Calibri"/>
        <color theme="1"/>
        <sz val="12.0"/>
      </rPr>
      <t>: Đọc to các từ vựng đã học:   sheep, duck, spider, frog, lizard, goat, cow</t>
    </r>
  </si>
  <si>
    <t>Grammar 2 &amp; 3</t>
  </si>
  <si>
    <t>REVIEW + UNIT TEST 7</t>
  </si>
  <si>
    <t>LESSON 32</t>
  </si>
  <si>
    <t>Review Unit 7 (vocabulary and structures)
- Farm animals
- Rooms in a house</t>
  </si>
  <si>
    <t>- What animal is it?
It's a....
- Where are the cows/..?
In the kitchen/...</t>
  </si>
  <si>
    <t xml:space="preserve">Handbook p.35
</t>
  </si>
  <si>
    <t>- What's this? It's ...
 - What are these? They're ....
 - I have breakfast in the morning.
 Can I have some...., please?
 - Here you are.
 - Sorry, I don't have.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</si>
  <si>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</si>
  <si>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</si>
  <si>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</si>
  <si>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</si>
  <si>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</si>
  <si>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t>LESSON 33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</si>
  <si>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Students take turns to do the Role-play: (Divide the students into pairs) 
Topic</t>
    </r>
    <r>
      <rPr>
        <rFont val="Calibri"/>
        <color theme="1"/>
        <sz val="12.0"/>
      </rPr>
      <t xml:space="preserve">: Where is my cap? I don't see it 
Sample video: </t>
    </r>
    <r>
      <rPr>
        <rFont val="Calibri"/>
        <color rgb="FF1155CC"/>
        <sz val="12.0"/>
        <u/>
      </rPr>
      <t>https://www.youtube.com/watch?v=o7Cbn0PzVIw&amp;list=PLii5rkhsE0Ld3xCgxG6j5fw7RlG2S5czO&amp;index=88</t>
    </r>
    <r>
      <rPr>
        <rFont val="Calibri"/>
        <color theme="1"/>
        <sz val="12.0"/>
      </rPr>
      <t xml:space="preserve"> 
(Teacher prepares the Questions list (if needed) )"
</t>
    </r>
  </si>
  <si>
    <t>REVIEW + Test U5+U6</t>
  </si>
  <si>
    <t>- She is Lenny's mother.
 - He is Lenny's father.
 - What's he/she doing?
 He/She is getting/flying/...
 - What's this? It's ...
 - What are these? They're ....
 - I have breakfast in the morning.
 Can I have some...., please?
 - Here you are.
 - Sorry, I don't have.</t>
  </si>
  <si>
    <t xml:space="preserve">Handbook p.36
Chép từ mới vào vở, mỗi từ 2 dòng: flat, park,shop 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</si>
  <si>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5&amp;6</t>
    </r>
  </si>
  <si>
    <t>Unit 5-6
 Game 1 &amp; 2</t>
  </si>
  <si>
    <t>56-57</t>
  </si>
  <si>
    <t>- Review Places
- Preposition: behind, between, in front of,  next to
- Sing a song activity</t>
  </si>
  <si>
    <t>- Who's behind grandma?
Grandpa is behind grandma.</t>
  </si>
  <si>
    <t>- Students review the places and remember the prepositions.
- Students can use preposition to do find people in a picture.</t>
  </si>
  <si>
    <t>Handbook p.37
Chép từ mới vào vở, mỗi từ 2 dòng: hospital, street, cafe</t>
  </si>
  <si>
    <t>Vocabulary 3
Grammar 2</t>
  </si>
  <si>
    <t>LESSON 34</t>
  </si>
  <si>
    <t>58-59</t>
  </si>
  <si>
    <t>- Pronunciation: /ow/ and /ou/
- Watch the story
- Review preposition
- Watch a video:
+ Hopscotch</t>
  </si>
  <si>
    <t>- /ow/-brown
- /ou/-mouse,house
A brown mouse in a town house.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</si>
  <si>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</si>
  <si>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1&amp;2</t>
    </r>
  </si>
  <si>
    <r>
      <rPr>
        <rFont val="Calibri"/>
        <color theme="1"/>
        <sz val="12.0"/>
      </rPr>
      <t xml:space="preserve">Handbook p.38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"- Places: flat, park, shop, hospital, street, café.</t>
    </r>
  </si>
  <si>
    <t>60-61</t>
  </si>
  <si>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  <u/>
      </rPr>
      <t xml:space="preserve">
'- Marie's music: Animals in music
+ frog, spider, fish, bird, snake, horse
- Trevor value: Your town
+ balloon, bin, grass, road, rubbish, trafic lights
</t>
    </r>
    <r>
      <rPr>
        <rFont val="Calibri"/>
        <color rgb="FFFF0000"/>
        <sz val="12.0"/>
        <u/>
      </rPr>
      <t>- Project: Make a poster of places in town.</t>
    </r>
    <r>
      <rPr>
        <rFont val="Calibri"/>
        <color theme="1"/>
        <sz val="12.0"/>
        <u/>
      </rPr>
      <t xml:space="preserve">
</t>
    </r>
    <r>
      <rPr>
        <rFont val="Calibri"/>
        <b/>
        <color theme="1"/>
        <sz val="12.0"/>
        <u/>
      </rPr>
      <t xml:space="preserve">-(40 minutes) Unit 8 Speaking video: </t>
    </r>
    <r>
      <rPr>
        <rFont val="Calibri"/>
        <color theme="1"/>
        <sz val="12.0"/>
      </rPr>
      <t>Unit 8_Speaking Project_My town.pptx</t>
    </r>
  </si>
  <si>
    <t>- What sound is this?
It's a frog's sound.</t>
  </si>
  <si>
    <t>- Students know the sound of each animals
- Understnd the value of lesson
- Students stand in front of the class and read the passage fluently (Teacher records the videos)</t>
  </si>
  <si>
    <t>Handbook p.39</t>
  </si>
  <si>
    <t>REVIEW + UNIT TEST 8</t>
  </si>
  <si>
    <r>
      <rPr>
        <rFont val="Calibri"/>
        <b/>
        <color theme="1"/>
        <sz val="12.0"/>
      </rPr>
      <t xml:space="preserve">40 MINUTES 
</t>
    </r>
    <r>
      <rPr>
        <rFont val="Calibri"/>
        <color theme="1"/>
        <sz val="12.0"/>
      </rPr>
      <t xml:space="preserve">Review Unit 8 (vocabulary and structures)
- Places in town
- Prepositions
</t>
    </r>
    <r>
      <rPr>
        <rFont val="Calibri"/>
        <b/>
        <color rgb="FFFF0000"/>
        <sz val="12.0"/>
      </rPr>
      <t>45 MINUTES: UNIT 8 TEST</t>
    </r>
  </si>
  <si>
    <t>- What is this? It's a....
- There is/are.....
- Who's behind grandma?
Grandpa is behind grandma.</t>
  </si>
  <si>
    <t>Handbook p.40</t>
  </si>
  <si>
    <t>UNIT 9
OUR CLOTHES</t>
  </si>
  <si>
    <t>- Clothes: sunglasses, shirt, jeans, hat, handbag, dress, glasses</t>
  </si>
  <si>
    <t>- What is this?
It's .....
- What are these?
They're....</t>
  </si>
  <si>
    <t>- Students understand the topic and remember the words
- Students can use the structure correctly with prural nouns.</t>
  </si>
  <si>
    <t>Handbook p.41
Chép từ mới vào vở, mỗi từ 02 dòng: sunglasses, shirt, jeans</t>
  </si>
  <si>
    <t>Vocabulary 1 &amp; 3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</si>
  <si>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</si>
  <si>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</si>
  <si>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</si>
  <si>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t xml:space="preserve">Handbook p.42
Chép từ mới vào vở, mỗi từ 02 dòng: hat, handbag, dress, glasses </t>
  </si>
  <si>
    <t>66-67</t>
  </si>
  <si>
    <t>- Sing a song activity</t>
  </si>
  <si>
    <t>- Have you got...?
+ Yes, I have.
+ No, I haven't.
- Has he/she got...?
+ Yes, he/she has.
+ No, he/she hasn't.</t>
  </si>
  <si>
    <t>- Students can use structure fluently.
- Students can sing a song together.</t>
  </si>
  <si>
    <t>Handbook p.43</t>
  </si>
  <si>
    <t>LESSON 35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</si>
  <si>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3&amp;4</t>
    </r>
  </si>
  <si>
    <t>LESSON 36</t>
  </si>
  <si>
    <t>MID-TERM TEST - READING, WRITING AND SPEAKING
 (Speaking test for students whose finish the reading and writing test early. Teachers prepare extra materials for students)</t>
  </si>
  <si>
    <r>
      <rPr>
        <rFont val="Calibri"/>
        <color rgb="FF1155CC"/>
        <sz val="11.0"/>
        <u/>
      </rPr>
      <t>Fun for Starter</t>
    </r>
    <r>
      <rPr>
        <rFont val="Calibri"/>
        <sz val="11.0"/>
      </rPr>
      <t xml:space="preserve">
 (21-25)</t>
    </r>
  </si>
  <si>
    <t>68-69</t>
  </si>
  <si>
    <r>
      <rPr>
        <rFont val="Calibri"/>
        <b/>
        <color rgb="FF000000"/>
        <sz val="12.0"/>
        <u/>
      </rPr>
      <t xml:space="preserve">45 minutes 
</t>
    </r>
    <r>
      <rPr>
        <rFont val="Calibri"/>
        <color rgb="FF000000"/>
        <sz val="12.0"/>
        <u/>
      </rPr>
      <t xml:space="preserve">- Pronunciation: /s/ and /sh/
- Watch a story
 </t>
    </r>
    <r>
      <rPr>
        <rFont val="Calibri"/>
        <b/>
        <color rgb="FF000000"/>
        <sz val="12.0"/>
        <u/>
      </rPr>
      <t xml:space="preserve">40 minutes 
 Unit 9 Speaking video: </t>
    </r>
    <r>
      <rPr>
        <rFont val="Calibri"/>
        <color rgb="FF000000"/>
        <sz val="12.0"/>
        <u/>
      </rPr>
      <t>Unit 9_Speaking Project_Our clothes.pptx</t>
    </r>
  </si>
  <si>
    <t>/s/-/s/-seven,sleep
/sh/-/sh/-sheep,shop
Seven sheep are sleeping in a shop.</t>
  </si>
  <si>
    <t>- Student learn some words start with /s/, /sh/ sound in "Monty's phonics".
- With the story, make 3 question so students answer them after the story.
- Students stand in front of the class and read the passage fluently (Teacher records the videos)</t>
  </si>
  <si>
    <t>Handbook p.44</t>
  </si>
  <si>
    <r>
      <rPr>
        <rFont val="Calibri"/>
        <color rgb="FF1155CC"/>
        <sz val="11.0"/>
        <u/>
      </rPr>
      <t>Link test</t>
    </r>
  </si>
  <si>
    <t>REVIEW + UNIT TEST 9</t>
  </si>
  <si>
    <t>Review Unit 9 (vocabulary and structures)
- Clothes</t>
  </si>
  <si>
    <t>- There is/are
- What is he/she wearing?
He/She wearing....
- Have you got...?
+ Yes, I have.
+ No, I haven't.
- Has he/she got...?
+ Yes, he/she has.
+ No, he/she hasn't.</t>
  </si>
  <si>
    <t>Handbook p.45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</si>
  <si>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</si>
  <si>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</si>
  <si>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</si>
  <si>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</si>
  <si>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</si>
  <si>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t>Handbook p.46</t>
  </si>
  <si>
    <t>72-73</t>
  </si>
  <si>
    <t>- Review hobbies
- Sing a song activity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</si>
  <si>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</si>
  <si>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</si>
  <si>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Handbook p.47</t>
  </si>
  <si>
    <t>Vocabulary 2
Grammar 1</t>
  </si>
  <si>
    <t>74-75</t>
  </si>
  <si>
    <t>- Pronunciation: /ng/
- Watch the story
- Watch the video
+ Carl and Alistair</t>
  </si>
  <si>
    <t>/ng/- king, sing, morning
The king sings in the morning.</t>
  </si>
  <si>
    <t>- Student learn some words start with /ng/ sound in "Monty's phonics".
- With the story, make 3 question so students answer them after the story.
- For videos, students can understand the hobbies in video.</t>
  </si>
  <si>
    <t>Handbook p.48</t>
  </si>
  <si>
    <t>76-77</t>
  </si>
  <si>
    <r>
      <rPr>
        <rFont val="Calibri"/>
        <b/>
        <color rgb="FF000000"/>
        <sz val="12.0"/>
      </rPr>
      <t xml:space="preserve">45 minutes 
</t>
    </r>
    <r>
      <rPr>
        <rFont val="Calibri"/>
        <color rgb="FF000000"/>
        <sz val="12.0"/>
      </rPr>
      <t xml:space="preserve">- Marie's math: Venn diagrams
Wool, mat, socks, shorts, skirt, sweater, shirt, hat, sheep
- Trevor value: Sports rules
bounce, stick, bat
- Make a friend's survey.
</t>
    </r>
    <r>
      <rPr>
        <rFont val="Calibri"/>
        <b/>
        <color rgb="FF000000"/>
        <sz val="12.0"/>
      </rPr>
      <t xml:space="preserve"> 40 minutes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Presentation Unit 10:</t>
    </r>
    <r>
      <rPr>
        <rFont val="Calibri"/>
        <color rgb="FF000000"/>
        <sz val="12.0"/>
      </rPr>
      <t>Unit 10_Speaking Project_Our hobbies.pptx</t>
    </r>
  </si>
  <si>
    <t>LESSON 37</t>
  </si>
  <si>
    <t>You can hit the ball with bats. It's table tennis.</t>
  </si>
  <si>
    <t>UNIT 7
 AT THE FARM</t>
  </si>
  <si>
    <t>- Students understand that clothes made by wool.
- Students understand the rules of sports
- Students stand in front of the class and read the passage fluently (Teacher records the videos)</t>
  </si>
  <si>
    <t>Handbook p.49</t>
  </si>
  <si>
    <t>What animal is it?
 It's a....</t>
  </si>
  <si>
    <t>- Students understand the topic and remember the words
 - Students understand the different between farm animals with other animals.</t>
  </si>
  <si>
    <t>REVIEW + UNIT TEST 10</t>
  </si>
  <si>
    <t>Review Unit 10 (vocabulary and structures)
- Hobbies</t>
  </si>
  <si>
    <t>Handbook p.50</t>
  </si>
  <si>
    <t>LESSON 38</t>
  </si>
  <si>
    <t>- Review animals
 - Review rooms: kitchen, bedroom, bathroom, hall
 - Sing a song activity.</t>
  </si>
  <si>
    <t>- Where are the cows/..?
 In the kitchen/...</t>
  </si>
  <si>
    <t>UNIT 11
MY BIRTHDAY</t>
  </si>
  <si>
    <t>- Students can use structures to talk about the location of each animals in the picture.
 - Students can sing a song together.</t>
  </si>
  <si>
    <t>- Food: burgers, sausages, lemonade, watermelon, oranges, cake</t>
  </si>
  <si>
    <t>- What is this? It's ....
- What are these? They'are...</t>
  </si>
  <si>
    <t>Handbook p.51</t>
  </si>
  <si>
    <t>LESSON 39</t>
  </si>
  <si>
    <t>- Review food
- Reading: Birthday party</t>
  </si>
  <si>
    <t>- I like watermelon/onion/...
 + So do I.
 + I don't.</t>
  </si>
  <si>
    <t>- Present simple and Present continuous.</t>
  </si>
  <si>
    <t>- Students remember new words.
 - Students can use structures to express they like that food or not.</t>
  </si>
  <si>
    <t>- Students review the words and practice reading.</t>
  </si>
  <si>
    <t>Vocabulary 1
 Grammar 1 &amp; 3</t>
  </si>
  <si>
    <t>Handbook p.52</t>
  </si>
  <si>
    <t>80-81</t>
  </si>
  <si>
    <t>- Sing a song activity
- chocolate cake, long sausages, coloured pencils</t>
  </si>
  <si>
    <t>LESSON 40</t>
  </si>
  <si>
    <t>- Would you like some...?
- Can I have....?
Yes, I'd love some.
No, thank you.</t>
  </si>
  <si>
    <r>
      <rPr>
        <rFont val="Calibri"/>
        <color rgb="FF1155CC"/>
        <sz val="12.0"/>
        <u/>
      </rPr>
      <t>- Pronunciation: /sp/</t>
    </r>
    <r>
      <rPr>
        <rFont val="Calibri"/>
        <b/>
        <color rgb="FF1155CC"/>
        <sz val="12.0"/>
        <u/>
      </rPr>
      <t xml:space="preserve">
 - The story
 -(40 minutes) Unit 7 </t>
    </r>
    <r>
      <rPr>
        <rFont val="Calibri"/>
        <color rgb="FF1155CC"/>
        <sz val="12.0"/>
        <u/>
      </rPr>
      <t>Speaking vid</t>
    </r>
    <r>
      <rPr>
        <rFont val="Calibri"/>
        <sz val="12.0"/>
      </rPr>
      <t>eo:Unit 7.pptx</t>
    </r>
  </si>
  <si>
    <t>Handbook p.53</t>
  </si>
  <si>
    <t>82-83</t>
  </si>
  <si>
    <r>
      <rPr>
        <rFont val="Calibri"/>
        <b/>
        <color rgb="FF000000"/>
        <sz val="12.0"/>
        <u/>
      </rPr>
      <t xml:space="preserve">45 minutes 
</t>
    </r>
    <r>
      <rPr>
        <rFont val="Calibri"/>
        <color rgb="FF000000"/>
        <sz val="12.0"/>
        <u/>
      </rPr>
      <t xml:space="preserve">- Pronunciation: /ur/ and /ir/
- Watch the story
</t>
    </r>
    <r>
      <rPr>
        <rFont val="Calibri"/>
        <b/>
        <color rgb="FF000000"/>
        <sz val="12.0"/>
        <u/>
      </rPr>
      <t xml:space="preserve"> 40 minutes</t>
    </r>
    <r>
      <rPr>
        <rFont val="Calibri"/>
        <color rgb="FF000000"/>
        <sz val="12.0"/>
        <u/>
      </rPr>
      <t xml:space="preserve"> </t>
    </r>
    <r>
      <rPr>
        <rFont val="Calibri"/>
        <b/>
        <color rgb="FF000000"/>
        <sz val="12.0"/>
        <u/>
      </rPr>
      <t xml:space="preserve">Presentation Unit 11:  </t>
    </r>
    <r>
      <rPr>
        <rFont val="Calibri"/>
        <color rgb="FF000000"/>
        <sz val="12.0"/>
      </rPr>
      <t>Unit 11_Speaking Project_My birthday.pptx</t>
    </r>
  </si>
  <si>
    <t>/h/- horse, hippo
A horse and a hippo in a helicopter.</t>
  </si>
  <si>
    <t>- Student learn some words start with /ur/ and /ir/ sound in "Monty's phonics".
- With the story, make 3 question so students answer them after the story.
- Students stand in front of the class and read the passage fluently (Teacher records the videos).</t>
  </si>
  <si>
    <t>Handbook p.54</t>
  </si>
  <si>
    <t>REVIEW + UNIT TEST 11</t>
  </si>
  <si>
    <t>/sp/-/sp/-spider, sports
 The spiders are sports stars
 - They are big and grey.
 - They've got long ears.</t>
  </si>
  <si>
    <t>Review Unit 11 (vocabulary and structures)
- Food</t>
  </si>
  <si>
    <t>- Student learn some words start with /sp/ sound in "Monty's phonics".
 - With the story, make 3 question so students answer them after the story.
 - Students stand in front of the class and read the passage fluently (Teacher records the videos)
 - Students can use structures to describe animals.</t>
  </si>
  <si>
    <t>Handbook p.55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</si>
  <si>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</si>
  <si>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</si>
  <si>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</si>
  <si>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</si>
  <si>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</si>
  <si>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LESSON 41</t>
  </si>
  <si>
    <t>Handbook p.56</t>
  </si>
  <si>
    <t>- What animal is it?
 It's a....
 - Where are the cows/..?
 In the kitchen/...</t>
  </si>
  <si>
    <t>86-87</t>
  </si>
  <si>
    <t>- Review holiday
- Listen and say the chant
+ hat, shorts, potaotes, beans, sheep, goat, truck, boat</t>
  </si>
  <si>
    <t>- Where do you want to go on holiday?
I want to....
I don't want to....
- Do you want to fo to a big city?
Yes, I do./ No, I don't.</t>
  </si>
  <si>
    <t>- Students review the words and use structures to talk about places they want to go on holiday.</t>
  </si>
  <si>
    <t>Handbook p.57</t>
  </si>
  <si>
    <t>LESSON 42</t>
  </si>
  <si>
    <t>88-89</t>
  </si>
  <si>
    <t>UNIT 8
 MY TOWN</t>
  </si>
  <si>
    <t>- Pronunciation: Vowels (u,e,o,a,i)
- Watch the story
- Watch the video
+ At the seaside</t>
  </si>
  <si>
    <t>Mum, Dad, Ben, Jill, Tom
Mum, Dad, Ben, Jill, Tom are on the bus.</t>
  </si>
  <si>
    <t>- Places: flat, park, shop, hospital, street, café.
 - Plural nouns: skateboards, cars, men, women, children, dogs, babies, pineapples, coconuts, lemons, cats, pets</t>
  </si>
  <si>
    <t>- Student learn some words have vowels in "Monty's phonics".
- With the story, make 3 question so students answer them after the story.
- For videos, students know different games they can play at the seaside.</t>
  </si>
  <si>
    <t>- What is this? It's a....
 - There is/are.....</t>
  </si>
  <si>
    <t>- Students remember the words and know what they see or do when they go there.
 - Students can understand the plural form of noun.</t>
  </si>
  <si>
    <t>Handbook p.58</t>
  </si>
  <si>
    <t>90-91</t>
  </si>
  <si>
    <t>LESSON 43</t>
  </si>
  <si>
    <r>
      <rPr>
        <rFont val="Calibri"/>
        <color rgb="FF000000"/>
        <sz val="12.0"/>
      </rPr>
      <t xml:space="preserve">45 minutes 
- Marie's geography: Maps
- Trevor value: Helping holidays
- Clean your teeth wash apples, wash your hands
</t>
    </r>
    <r>
      <rPr>
        <rFont val="Calibri"/>
        <b/>
        <color rgb="FF000000"/>
        <sz val="12.0"/>
      </rPr>
      <t xml:space="preserve"> 40 minutes Presentation Unit 12</t>
    </r>
    <r>
      <rPr>
        <rFont val="Calibri"/>
        <color rgb="FF000000"/>
        <sz val="12.0"/>
      </rPr>
      <t>: Unit 12_Speaking Project_On holiday.pptx</t>
    </r>
  </si>
  <si>
    <t>- Review Places
 - Preposition: behind, between, in front of, next to
 - Sing a song activity</t>
  </si>
  <si>
    <t>- Who's behind grandma?
 Grandpa is behind grandma.</t>
  </si>
  <si>
    <t>- Students review the places and remember the prepositions.
 - Students can use preposition to do find people in a picture.</t>
  </si>
  <si>
    <t>Vocabulary 3
 Grammar 2</t>
  </si>
  <si>
    <t>- Students know how to read a map
- Students understand the value of helping holidays
- Students stand in front of the class and read the passage fluently (Teacher records the videos)</t>
  </si>
  <si>
    <t>LESSON 44</t>
  </si>
  <si>
    <t>Handbook p.59</t>
  </si>
  <si>
    <t>- Pronunciation: /ow/ and /ou/
 - Watch the story
 - Review preposition
 - Watch a video:
 + Hopscotch</t>
  </si>
  <si>
    <t>- /ow/-brown
 - /ou/-mouse,house
 A brown mouse in a town house.</t>
  </si>
  <si>
    <t>- Student learn some words start with /ow/, /ou/ sound in "Monty's phonics".
 - With the story, make 3 question so students answer them after the story.
 - For videos, students understand how to play the game.
 - Students can use prepositions to talk about places in a picture.</t>
  </si>
  <si>
    <t>REVIEW + UNIT TEST 12</t>
  </si>
  <si>
    <t>Review Unit 12 (vocabulary and structures)
- Nature places</t>
  </si>
  <si>
    <t>Handbook p.60</t>
  </si>
  <si>
    <t>LESSON 45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</si>
  <si>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'- Marie's music: Animals in musi</t>
    </r>
    <r>
      <rPr>
        <rFont val="Calibri"/>
        <b/>
        <color rgb="FF1155CC"/>
        <sz val="12.0"/>
        <u/>
      </rPr>
      <t>c
 + frog, spider, fish, bird, snake,</t>
    </r>
    <r>
      <rPr>
        <rFont val="Calibri"/>
        <b/>
        <color rgb="FF1155CC"/>
        <sz val="12.0"/>
        <u/>
      </rPr>
      <t xml:space="preserve"> horse
 - T</t>
    </r>
    <r>
      <rPr>
        <rFont val="Calibri"/>
        <b/>
        <sz val="12.0"/>
      </rPr>
      <t>revor value: Your town
 + balloon, bin, grass, road, rubbish, trafic lights
 - Project: Make a poster of places in town.
 -(40 minutes) Unit 8 Speaking video: Unit 8.pptx</t>
    </r>
  </si>
  <si>
    <t>Review all vocabularies of Unit 7 and 8</t>
  </si>
  <si>
    <t>- Students review the lesson contents of Unit 7 &amp; 8</t>
  </si>
  <si>
    <t>Unit 7-8
Game 1 &amp; 2</t>
  </si>
  <si>
    <t>48-61</t>
  </si>
  <si>
    <t>- What sound is this?
 It's a frog's sound.</t>
  </si>
  <si>
    <t>Review all vocabularies of Unit 9 and 10</t>
  </si>
  <si>
    <t>- Students know the sound of each animals
 - Understnd the value of lesson
 - Students stand in front of the class and read the passage fluently (Teacher records the videos)</t>
  </si>
  <si>
    <t>- Students review the lesson contents from unit 9 &amp; 10</t>
  </si>
  <si>
    <t>Unit 9-10
Game 1 &amp; 2</t>
  </si>
  <si>
    <t>LESSON 46</t>
  </si>
  <si>
    <t>- What is this? It's a....
 - There is/are.....
 - Who's behind grandma?
 Grandpa is behind grandma.</t>
  </si>
  <si>
    <t>64-77</t>
  </si>
  <si>
    <t>Review all vocabularies from Unit 11 and 12</t>
  </si>
  <si>
    <t>- Students review the lesson contents from unit 11 &amp; 12</t>
  </si>
  <si>
    <t>Unit 11-12
Game 1 &amp; 2</t>
  </si>
  <si>
    <t>LESSON 47</t>
  </si>
  <si>
    <t>REVIEW + Test U7+U8</t>
  </si>
  <si>
    <t>END OF TERM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</si>
  <si>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7-8-9
 Home-School-Sports</t>
    </r>
  </si>
  <si>
    <t>END OF TERM TEST - READING, WRITING AND SPEAKING
(Speaking test for students whose finish the reading and writing test early. Teachers prepare extra materials for students)</t>
  </si>
  <si>
    <t>Sun Final class pack</t>
  </si>
  <si>
    <t>Unit 7-8
 Game 1 &amp; 2</t>
  </si>
  <si>
    <t>END OF TERM SPEAKING TEST
(Speaking test for students whose didn't finish the test in lesson 47)</t>
  </si>
  <si>
    <t>LESSON 48</t>
  </si>
  <si>
    <t>UNIT 9
 OUR CLOTHES</t>
  </si>
  <si>
    <t>- Clothes: sunglasses, shirt, jeans, hat, handbag, dress, dress, glasses</t>
  </si>
  <si>
    <t>- What is this?
 It's .....
 - What are these?
 They're....</t>
  </si>
  <si>
    <t>- Students understand the topic and remember the words
 - Students can use the structure correctly with prural nouns.</t>
  </si>
  <si>
    <t>LESSON 49</t>
  </si>
  <si>
    <t>- Review clothes
 - Listen and say the chant on page 65</t>
  </si>
  <si>
    <t>- There is/are
 - What is he/she wearing?
 He/She wearing....</t>
  </si>
  <si>
    <t>- Students remember the words and use them with structure correctly.
 - Students can use stucture to talk about clothes of characters in the picture.</t>
  </si>
  <si>
    <t>GRADUATION</t>
  </si>
  <si>
    <t xml:space="preserve"> GRADUATION 
Graduation_Moon + Sun (1).pptx</t>
  </si>
  <si>
    <t>LESSON 50</t>
  </si>
  <si>
    <t>- Have you got...?
 + Yes, I have.
 + No, I haven't.
 - Has he/she got...?
 + Yes, he/she has.
 + No, he/she hasn't.</t>
  </si>
  <si>
    <t>- Students can use structure fluently.
 - Students can sing a song together.</t>
  </si>
  <si>
    <t>Tổng quan chương trình (Sun,Moon,Galax)</t>
  </si>
  <si>
    <t>LESSON 51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</si>
  <si>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Pronunciation: /s/ and /s</t>
    </r>
    <r>
      <rPr>
        <rFont val="Calibri"/>
        <b/>
        <color rgb="FF1155CC"/>
        <sz val="12.0"/>
        <u/>
      </rPr>
      <t>h/
 - Watch</t>
    </r>
    <r>
      <rPr>
        <rFont val="Calibri"/>
        <b/>
        <color rgb="FF1155CC"/>
        <sz val="12.0"/>
        <u/>
      </rPr>
      <t xml:space="preserve"> a story
  </t>
    </r>
    <r>
      <rPr>
        <rFont val="Calibri"/>
        <b/>
        <sz val="12.0"/>
      </rPr>
      <t>40 minutes 
  Unit 9 Speaking video: Unit 9.pptx</t>
    </r>
  </si>
  <si>
    <t>/s/-/s/-seven,sleep
 /sh/-/sh/-sheep,shop
 Seven sheep are sleeping in a shop.</t>
  </si>
  <si>
    <t>- Student learn some words start with /s/, /sh/ sound in "Monty's phonics".
 - With the story, make 3 question so students answer them after the story.
 - Students stand in front of the class and read the passage fluently (Teacher records the videos)</t>
  </si>
  <si>
    <t>LESSON 52</t>
  </si>
  <si>
    <t>Review Unit 9 (vocabulary and structures)
 - Clothes</t>
  </si>
  <si>
    <t>- There is/are
 - What is he/she wearing?
 He/She wearing....
 - Have you got...?
 + Yes, I have.
 + No, I haven't.
 - Has he/she got...?
 + Yes, he/she has.
 + No, he/she hasn't.</t>
  </si>
  <si>
    <r>
      <rPr>
        <rFont val="Calibri"/>
        <color rgb="FF1155CC"/>
        <sz val="11.0"/>
        <u/>
      </rPr>
      <t>Link test</t>
    </r>
  </si>
  <si>
    <t>LESSON 53</t>
  </si>
  <si>
    <t>UNIT 10
 OUR HOBBIES</t>
  </si>
  <si>
    <t>- Hobbies: painting, table tennis, hockey, badminton, basketball, baseball.
 - Reading: football and soccer.</t>
  </si>
  <si>
    <t>- What's this?
 It's.....
 - My hobby is....</t>
  </si>
  <si>
    <t>- Students know the different between sports and hobbies
 - Students remember the words and use them with structure correctly.</t>
  </si>
  <si>
    <t>LESSON 54</t>
  </si>
  <si>
    <t>- Review hobbies
 - Sing a song activity</t>
  </si>
  <si>
    <t>- I like/love....ing.
 - I don't like...ing.
 - Does he/she like....?
 + Yes, he/she does.
 + No, he/she doesn't.</t>
  </si>
  <si>
    <t>- Students review the vocabulary in previous lesson.
 - Students know the different between like and love
 - Students can use grammar correctly.</t>
  </si>
  <si>
    <t>Vocabulary 2
 Grammar 1</t>
  </si>
  <si>
    <t>LESSON 55</t>
  </si>
  <si>
    <t>- Pronunciation: /ng/
 - Watch the story
 - Watch the video
 + Carl and Alistair</t>
  </si>
  <si>
    <t>/ng/- king, sing, morning
 The king sings in the morning.</t>
  </si>
  <si>
    <t>- Student learn some words start with /ng/ sound in "Monty's phonics".
 - With the story, make 3 question so students answer them after the story.
 - For videos, students can understand the hobbies in video.</t>
  </si>
  <si>
    <t>LESSON 56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</si>
  <si>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Marie's math: Venn diagra</t>
    </r>
    <r>
      <rPr>
        <rFont val="Calibri"/>
        <b/>
        <color rgb="FF1155CC"/>
        <sz val="12.0"/>
        <u/>
      </rPr>
      <t>m</t>
    </r>
    <r>
      <rPr>
        <rFont val="Calibri"/>
        <b/>
        <color rgb="FF1155CC"/>
        <sz val="12.0"/>
        <u/>
      </rPr>
      <t>s
 Wool, m</t>
    </r>
    <r>
      <rPr>
        <rFont val="Calibri"/>
        <b/>
        <color rgb="FF1155CC"/>
        <sz val="12.0"/>
        <u/>
      </rPr>
      <t>a</t>
    </r>
    <r>
      <rPr>
        <rFont val="Calibri"/>
        <b/>
        <color rgb="FF1155CC"/>
        <sz val="12.0"/>
        <u/>
      </rPr>
      <t>t, socks, shorts, skir</t>
    </r>
    <r>
      <rPr>
        <rFont val="Calibri"/>
        <b/>
        <color rgb="FF1155CC"/>
        <sz val="12.0"/>
        <u/>
      </rPr>
      <t xml:space="preserve">t, sweater, </t>
    </r>
    <r>
      <rPr>
        <rFont val="Calibri"/>
        <b/>
        <sz val="12.0"/>
      </rPr>
      <t>shirt, hat, sheep
 - Trevor value: Sports rules
 bounce, stick, bat
 - Make a friend's survey.
  40 minutes Presentation Unit 10: Unit 10.pptx</t>
    </r>
  </si>
  <si>
    <t>- Students understand that clothes made by wool.
 - Students understand the rules of sports
 - Students stand in front of the class and read the passage fluently (Teacher records the videos)</t>
  </si>
  <si>
    <t>LESSON 57</t>
  </si>
  <si>
    <t>LESSON 58</t>
  </si>
  <si>
    <t>REVIEW + Test U9+U10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</si>
  <si>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10-11-12
 Toys-Transport-Numbers</t>
    </r>
  </si>
  <si>
    <t>Unit 9-10
 Game 1 &amp; 2</t>
  </si>
  <si>
    <t>LESSON 59</t>
  </si>
  <si>
    <t>UNIT 11
 MY BIRTHDAY</t>
  </si>
  <si>
    <t>- What is this? It's ....
 - What are these? They'are...</t>
  </si>
  <si>
    <t>LESSON 60</t>
  </si>
  <si>
    <t>- Review food
 - Reading: Birthday party</t>
  </si>
  <si>
    <t>LESSON 61</t>
  </si>
  <si>
    <t>- Sing a song activity
 - chocolate cake, long sausages, coloured pencils</t>
  </si>
  <si>
    <t>- Would you like some...?
 - Can I have....?
 Yes, I'd love some.
 No, thank you.</t>
  </si>
  <si>
    <t>LESSON 62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</si>
  <si>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Pronunciation: /ur/ and /i</t>
    </r>
    <r>
      <rPr>
        <rFont val="Calibri"/>
        <b/>
        <color rgb="FF1155CC"/>
        <sz val="12.0"/>
        <u/>
      </rPr>
      <t>r</t>
    </r>
    <r>
      <rPr>
        <rFont val="Calibri"/>
        <b/>
        <color rgb="FF1155CC"/>
        <sz val="12.0"/>
        <u/>
      </rPr>
      <t>/
 - Watch</t>
    </r>
    <r>
      <rPr>
        <rFont val="Calibri"/>
        <b/>
        <color rgb="FF1155CC"/>
        <sz val="12.0"/>
        <u/>
      </rPr>
      <t xml:space="preserve"> </t>
    </r>
    <r>
      <rPr>
        <rFont val="Calibri"/>
        <b/>
        <color rgb="FF1155CC"/>
        <sz val="12.0"/>
        <u/>
      </rPr>
      <t>the story
  40 minute</t>
    </r>
    <r>
      <rPr>
        <rFont val="Calibri"/>
        <b/>
        <color rgb="FF1155CC"/>
        <sz val="12.0"/>
        <u/>
      </rPr>
      <t>s Presentati</t>
    </r>
    <r>
      <rPr>
        <rFont val="Calibri"/>
        <b/>
        <sz val="12.0"/>
      </rPr>
      <t>on Unit 11: Unit 11.pptx</t>
    </r>
  </si>
  <si>
    <t>/h/- horse, hippo
 A horse and a hippo in a helicopter.</t>
  </si>
  <si>
    <t>- Student learn some words start with /ur/ and /ir/ sound in "Monty's phonics".
 - With the story, make 3 question so students answer them after the story.
 - Students stand in front of the class and read the passage fluently (Teacher records the videos).</t>
  </si>
  <si>
    <t>LESSON 63</t>
  </si>
  <si>
    <t>Review Unit 11 (vocabulary and structures)
 - Food</t>
  </si>
  <si>
    <r>
      <rPr>
        <rFont val="Calibri"/>
        <color rgb="FF1155CC"/>
        <sz val="11.0"/>
        <u/>
      </rPr>
      <t>Link test</t>
    </r>
  </si>
  <si>
    <t>LESSON 64</t>
  </si>
  <si>
    <t>UNIT 12
 ON HOLIDAY!</t>
  </si>
  <si>
    <t>- Holiday: mountain, beach, sun, sea, shell, sand
 - Sing a song activity</t>
  </si>
  <si>
    <t>- What's this?
 It's ....
 - What's he/she doing?
 He is swimming in the sea.
 She is walking on the sand.</t>
  </si>
  <si>
    <t>- Students understand the topic and remember the words
 - Students can sing a song together.</t>
  </si>
  <si>
    <t>LESSON 65</t>
  </si>
  <si>
    <t>- Review holiday
 - Listen and say the chant
 + hat, shorts, potaotes, beans, sheep, goat, truck, boat</t>
  </si>
  <si>
    <t>- Where do you want to go on holiday?
 I want to....
 I don't want to....
 - Do you want to fo to a big city?
 Yes, I do./ No, I don't.</t>
  </si>
  <si>
    <t>LESSON 66</t>
  </si>
  <si>
    <t>- Pronunciation: Vowels (u,e,o,a,i)
 - Watch the story
 - Watch the video
 + At the seaside</t>
  </si>
  <si>
    <t>Mum, Dad, Ben, Jill, Tom
 Mum, Dad, Ben, Jill, Tom are on the bus.</t>
  </si>
  <si>
    <t>- Student learn some words have vowels in "Monty's phonics".
 - With the story, make 3 question so students answer them after the story.
 - For videos, students know different games they can play at the seaside.</t>
  </si>
  <si>
    <t>LESSON 67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</si>
  <si>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Marie's geography: Ma</t>
    </r>
    <r>
      <rPr>
        <rFont val="Calibri"/>
        <b/>
        <color rgb="FF1155CC"/>
        <sz val="12.0"/>
        <u/>
      </rPr>
      <t>p</t>
    </r>
    <r>
      <rPr>
        <rFont val="Calibri"/>
        <b/>
        <color rgb="FF1155CC"/>
        <sz val="12.0"/>
        <u/>
      </rPr>
      <t>s
 - Trevor value: Helping holida</t>
    </r>
    <r>
      <rPr>
        <rFont val="Calibri"/>
        <b/>
        <color rgb="FF1155CC"/>
        <sz val="12.0"/>
        <u/>
      </rPr>
      <t xml:space="preserve">ys
 - Clean </t>
    </r>
    <r>
      <rPr>
        <rFont val="Calibri"/>
        <b/>
        <sz val="12.0"/>
      </rPr>
      <t>your teeth wash apples, wash your hands
  40 minutes Presentation Unit 12: Unit 12.pptx</t>
    </r>
  </si>
  <si>
    <t>- Students know how to read a map
 - Students understand the value of helping holidays
 - Students stand in front of the class and read the passage fluently (Teacher records the videos)</t>
  </si>
  <si>
    <t>LESSON 68</t>
  </si>
  <si>
    <t>Review Unit 12 (vocabulary and structures)
 - Nature places</t>
  </si>
  <si>
    <r>
      <rPr>
        <rFont val="Calibri"/>
        <color rgb="FF1155CC"/>
        <sz val="11.0"/>
        <u/>
      </rPr>
      <t>Link test</t>
    </r>
  </si>
  <si>
    <t>LESSON 69</t>
  </si>
  <si>
    <t>REVIEW + Test U11+U12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</si>
  <si>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13-14-15
 Places-Time-The World</t>
    </r>
  </si>
  <si>
    <t>Unit 11-12
 Game 1 &amp; 2</t>
  </si>
  <si>
    <t>LESSON 70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</si>
  <si>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7-8-9
 Home-School-Sports</t>
    </r>
  </si>
  <si>
    <t>LESSON 71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</si>
  <si>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10-11-12
 Toys-Transport-Numbers</t>
    </r>
  </si>
  <si>
    <t>LESSON 72</t>
  </si>
  <si>
    <t>END OF TERM TEST - READING, WRITING AND SPEAKING
 (Speaking test for students whose finish the reading and writing test early. Teachers prepare extra materials for students)</t>
  </si>
  <si>
    <r>
      <rPr>
        <rFont val="Calibri"/>
        <color rgb="FF1155CC"/>
        <sz val="11.0"/>
        <u/>
      </rPr>
      <t>Fun for Starter</t>
    </r>
    <r>
      <rPr>
        <rFont val="Calibri"/>
        <sz val="11.0"/>
      </rPr>
      <t xml:space="preserve">
 (36-40)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</si>
</sst>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đ-42A]"/>
    <numFmt numFmtId="165" formatCode="dd/mm/yyyy"/>
    <numFmt numFmtId="166" formatCode="d-m"/>
  </numFmts>
  <fonts count="59">
    <font>
      <sz val="11.0"/>
      <color theme="1"/>
      <name val="Calibri"/>
      <scheme val="minor"/>
    </font>
    <font>
      <b/>
      <sz val="25.0"/>
      <color rgb="FF351C75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8.0"/>
      <color rgb="FF000000"/>
      <name val="Calibri"/>
    </font>
    <font/>
    <font>
      <b/>
      <sz val="18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2.0"/>
      <color theme="1"/>
      <name val="Calibri"/>
      <scheme val="minor"/>
    </font>
    <font>
      <sz val="13.0"/>
      <color theme="1"/>
      <name val="Calibri"/>
      <scheme val="minor"/>
    </font>
    <font>
      <b/>
      <sz val="24.0"/>
      <color rgb="FF000000"/>
      <name val="Calibri"/>
    </font>
    <font>
      <sz val="12.0"/>
      <color theme="1"/>
      <name val="Calibri"/>
    </font>
    <font>
      <b/>
      <sz val="12.0"/>
      <color rgb="FFFF00FF"/>
      <name val="Calibri"/>
      <scheme val="minor"/>
    </font>
    <font>
      <sz val="14.0"/>
      <color theme="1"/>
      <name val="Calibri"/>
    </font>
    <font>
      <b/>
      <sz val="11.0"/>
      <color rgb="FF741B47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4.0"/>
      <color rgb="FF000000"/>
      <name val="Calibri"/>
    </font>
    <font>
      <b/>
      <sz val="12.0"/>
      <color rgb="FFFF0000"/>
      <name val="Calibri"/>
      <scheme val="minor"/>
    </font>
    <font>
      <u/>
      <sz val="12.0"/>
      <color theme="1"/>
      <name val="Calibri"/>
    </font>
    <font>
      <u/>
      <sz val="12.0"/>
      <color theme="1"/>
      <name val="Calibri"/>
    </font>
    <font>
      <color theme="1"/>
      <name val="Calibri"/>
    </font>
    <font>
      <u/>
      <sz val="12.0"/>
      <color rgb="FF0000FF"/>
      <name val="Calibri"/>
    </font>
    <font>
      <b/>
      <sz val="12.0"/>
      <color rgb="FFCC0000"/>
      <name val="Calibri"/>
      <scheme val="minor"/>
    </font>
    <font>
      <b/>
      <sz val="13.0"/>
      <color rgb="FFCC0000"/>
      <name val="Calibri"/>
      <scheme val="minor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sz val="12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sz val="12.0"/>
      <color rgb="FFCCCCCC"/>
      <name val="Calibri"/>
    </font>
    <font>
      <b/>
      <u/>
      <sz val="12.0"/>
      <color rgb="FFFF0000"/>
      <name val="Calibri"/>
    </font>
    <font>
      <b/>
      <sz val="12.0"/>
      <color rgb="FFFF0000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00"/>
      <name val="Calibri"/>
    </font>
    <font>
      <b/>
      <u/>
      <sz val="12.0"/>
      <color rgb="FF0000FF"/>
      <name val="Calibri"/>
    </font>
    <font>
      <b/>
      <u/>
      <sz val="12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b/>
      <u/>
      <sz val="12.0"/>
      <color rgb="FF0000FF"/>
      <name val="Calibri"/>
    </font>
    <font>
      <u/>
      <sz val="11.0"/>
      <color rgb="FF0000FF"/>
      <name val="Calibri"/>
    </font>
    <font>
      <b/>
      <u/>
      <sz val="12.0"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0CECE"/>
        <bgColor rgb="FFD0CECE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CFE2F3"/>
        <bgColor rgb="FFCFE2F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wrapText="0"/>
    </xf>
    <xf borderId="2" fillId="0" fontId="5" numFmtId="0" xfId="0" applyBorder="1" applyFont="1"/>
    <xf borderId="3" fillId="3" fontId="6" numFmtId="0" xfId="0" applyAlignment="1" applyBorder="1" applyFont="1">
      <alignment horizontal="center" vertical="center"/>
    </xf>
    <xf borderId="4" fillId="0" fontId="5" numFmtId="0" xfId="0" applyBorder="1" applyFont="1"/>
    <xf borderId="0" fillId="0" fontId="7" numFmtId="0" xfId="0" applyAlignment="1" applyFont="1">
      <alignment shrinkToFit="0" vertical="bottom" wrapText="0"/>
    </xf>
    <xf borderId="5" fillId="0" fontId="5" numFmtId="0" xfId="0" applyBorder="1" applyFont="1"/>
    <xf borderId="0" fillId="0" fontId="8" numFmtId="0" xfId="0" applyAlignment="1" applyFont="1">
      <alignment vertical="bottom"/>
    </xf>
    <xf borderId="1" fillId="3" fontId="3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shrinkToFit="0" wrapText="0"/>
    </xf>
    <xf borderId="0" fillId="0" fontId="9" numFmtId="0" xfId="0" applyAlignment="1" applyFont="1">
      <alignment vertical="bottom"/>
    </xf>
    <xf borderId="2" fillId="3" fontId="2" numFmtId="0" xfId="0" applyAlignment="1" applyBorder="1" applyFont="1">
      <alignment horizontal="center" shrinkToFit="0" wrapText="0"/>
    </xf>
    <xf borderId="0" fillId="4" fontId="10" numFmtId="0" xfId="0" applyAlignment="1" applyFill="1" applyFont="1">
      <alignment horizontal="left" readingOrder="0" shrinkToFit="0" vertical="center" wrapText="1"/>
    </xf>
    <xf borderId="3" fillId="3" fontId="3" numFmtId="0" xfId="0" applyAlignment="1" applyBorder="1" applyFont="1">
      <alignment horizontal="center" vertical="center"/>
    </xf>
    <xf borderId="6" fillId="0" fontId="5" numFmtId="0" xfId="0" applyBorder="1" applyFont="1"/>
    <xf borderId="0" fillId="4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7" fillId="3" fontId="2" numFmtId="0" xfId="0" applyAlignment="1" applyBorder="1" applyFont="1">
      <alignment horizontal="center"/>
    </xf>
    <xf borderId="8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0" fillId="5" fontId="10" numFmtId="0" xfId="0" applyAlignment="1" applyFill="1" applyFont="1">
      <alignment shrinkToFit="0" vertical="center" wrapText="1"/>
    </xf>
    <xf borderId="3" fillId="6" fontId="12" numFmtId="0" xfId="0" applyAlignment="1" applyBorder="1" applyFill="1" applyFont="1">
      <alignment horizontal="center" shrinkToFit="0" wrapText="0"/>
    </xf>
    <xf borderId="9" fillId="6" fontId="13" numFmtId="165" xfId="0" applyAlignment="1" applyBorder="1" applyFont="1" applyNumberFormat="1">
      <alignment horizontal="center" readingOrder="0" vertical="center"/>
    </xf>
    <xf borderId="0" fillId="5" fontId="14" numFmtId="0" xfId="0" applyAlignment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readingOrder="0" vertical="center"/>
    </xf>
    <xf borderId="0" fillId="0" fontId="7" numFmtId="0" xfId="0" applyAlignment="1" applyFont="1">
      <alignment shrinkToFit="0" wrapText="0"/>
    </xf>
    <xf borderId="11" fillId="7" fontId="1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0" fillId="0" fontId="13" numFmtId="0" xfId="0" applyAlignment="1" applyBorder="1" applyFont="1">
      <alignment horizontal="center" vertical="center"/>
    </xf>
    <xf borderId="10" fillId="6" fontId="17" numFmtId="0" xfId="0" applyAlignment="1" applyBorder="1" applyFont="1">
      <alignment horizontal="center" shrinkToFit="0" wrapText="0"/>
    </xf>
    <xf quotePrefix="1" borderId="10" fillId="0" fontId="13" numFmtId="0" xfId="0" applyAlignment="1" applyBorder="1" applyFont="1">
      <alignment readingOrder="0" shrinkToFit="0" vertical="center" wrapText="1"/>
    </xf>
    <xf borderId="7" fillId="0" fontId="17" numFmtId="0" xfId="0" applyAlignment="1" applyBorder="1" applyFont="1">
      <alignment horizontal="center" shrinkToFit="0" wrapText="0"/>
    </xf>
    <xf quotePrefix="1" borderId="0" fillId="0" fontId="18" numFmtId="0" xfId="0" applyAlignment="1" applyFont="1">
      <alignment readingOrder="0" vertical="center"/>
    </xf>
    <xf borderId="7" fillId="6" fontId="19" numFmtId="0" xfId="0" applyAlignment="1" applyBorder="1" applyFont="1">
      <alignment horizontal="center"/>
    </xf>
    <xf borderId="10" fillId="0" fontId="13" numFmtId="0" xfId="0" applyAlignment="1" applyBorder="1" applyFont="1">
      <alignment readingOrder="0" shrinkToFit="0" vertical="center" wrapText="1"/>
    </xf>
    <xf borderId="7" fillId="0" fontId="17" numFmtId="0" xfId="0" applyBorder="1" applyFont="1"/>
    <xf borderId="7" fillId="0" fontId="17" numFmtId="0" xfId="0" applyAlignment="1" applyBorder="1" applyFont="1">
      <alignment horizontal="center"/>
    </xf>
    <xf borderId="7" fillId="0" fontId="7" numFmtId="0" xfId="0" applyAlignment="1" applyBorder="1" applyFont="1">
      <alignment shrinkToFit="0" vertical="bottom" wrapText="0"/>
    </xf>
    <xf borderId="0" fillId="0" fontId="20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7" fillId="0" fontId="17" numFmtId="166" xfId="0" applyAlignment="1" applyBorder="1" applyFont="1" applyNumberFormat="1">
      <alignment horizontal="center" shrinkToFit="0" wrapText="0"/>
    </xf>
    <xf borderId="5" fillId="0" fontId="2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2" fillId="6" fontId="13" numFmtId="165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shrinkToFit="0" vertical="top" wrapText="1"/>
    </xf>
    <xf borderId="13" fillId="0" fontId="13" numFmtId="0" xfId="0" applyAlignment="1" applyBorder="1" applyFont="1">
      <alignment horizontal="center" readingOrder="0" vertical="center"/>
    </xf>
    <xf borderId="13" fillId="7" fontId="15" numFmtId="0" xfId="0" applyAlignment="1" applyBorder="1" applyFont="1">
      <alignment horizontal="center" shrinkToFit="0" vertical="center" wrapText="1"/>
    </xf>
    <xf borderId="10" fillId="0" fontId="13" numFmtId="166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vertical="center" wrapText="1"/>
    </xf>
    <xf quotePrefix="1" borderId="13" fillId="0" fontId="22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readingOrder="0" shrinkToFit="0" vertical="center" wrapText="1"/>
    </xf>
    <xf borderId="10" fillId="0" fontId="5" numFmtId="0" xfId="0" applyBorder="1" applyFont="1"/>
    <xf borderId="10" fillId="0" fontId="13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0" fillId="0" fontId="23" numFmtId="0" xfId="0" applyFont="1"/>
    <xf borderId="0" fillId="0" fontId="11" numFmtId="0" xfId="0" applyAlignment="1" applyFont="1">
      <alignment horizontal="left" shrinkToFit="0" vertical="center" wrapText="1"/>
    </xf>
    <xf borderId="13" fillId="0" fontId="13" numFmtId="3" xfId="0" applyAlignment="1" applyBorder="1" applyFont="1" applyNumberFormat="1">
      <alignment horizontal="center" vertical="center"/>
    </xf>
    <xf borderId="7" fillId="0" fontId="24" numFmtId="0" xfId="0" applyBorder="1" applyFont="1"/>
    <xf quotePrefix="1" borderId="13" fillId="0" fontId="13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quotePrefix="1" borderId="13" fillId="0" fontId="13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shrinkToFit="0" wrapText="0"/>
    </xf>
    <xf borderId="7" fillId="0" fontId="27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13" fillId="0" fontId="28" numFmtId="0" xfId="0" applyAlignment="1" applyBorder="1" applyFont="1">
      <alignment readingOrder="0" shrinkToFit="0" vertical="center" wrapText="1"/>
    </xf>
    <xf quotePrefix="1" borderId="13" fillId="0" fontId="13" numFmtId="0" xfId="0" applyAlignment="1" applyBorder="1" applyFont="1">
      <alignment horizontal="center" shrinkToFit="0" vertical="center" wrapText="1"/>
    </xf>
    <xf borderId="13" fillId="8" fontId="3" numFmtId="0" xfId="0" applyAlignment="1" applyBorder="1" applyFill="1" applyFont="1">
      <alignment horizontal="center" readingOrder="0" shrinkToFit="0" vertical="center" wrapText="1"/>
    </xf>
    <xf quotePrefix="1" borderId="13" fillId="0" fontId="13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quotePrefix="1" borderId="13" fillId="0" fontId="13" numFmtId="17" xfId="0" applyAlignment="1" applyBorder="1" applyFont="1" applyNumberFormat="1">
      <alignment horizontal="center" vertical="center"/>
    </xf>
    <xf borderId="14" fillId="0" fontId="29" numFmtId="0" xfId="0" applyAlignment="1" applyBorder="1" applyFont="1">
      <alignment readingOrder="0" shrinkToFit="0" vertical="center" wrapText="1"/>
    </xf>
    <xf borderId="13" fillId="6" fontId="15" numFmtId="0" xfId="0" applyAlignment="1" applyBorder="1" applyFont="1">
      <alignment horizontal="center" shrinkToFit="0" vertical="center" wrapText="1"/>
    </xf>
    <xf quotePrefix="1" borderId="13" fillId="6" fontId="13" numFmtId="17" xfId="0" applyAlignment="1" applyBorder="1" applyFont="1" applyNumberFormat="1">
      <alignment horizontal="center" vertical="center"/>
    </xf>
    <xf quotePrefix="1" borderId="13" fillId="6" fontId="13" numFmtId="0" xfId="0" applyAlignment="1" applyBorder="1" applyFont="1">
      <alignment readingOrder="0" shrinkToFit="0" vertical="center" wrapText="1"/>
    </xf>
    <xf quotePrefix="1" borderId="13" fillId="6" fontId="13" numFmtId="0" xfId="0" applyAlignment="1" applyBorder="1" applyFont="1">
      <alignment shrinkToFit="0" vertical="center" wrapText="1"/>
    </xf>
    <xf borderId="13" fillId="6" fontId="13" numFmtId="0" xfId="0" applyAlignment="1" applyBorder="1" applyFont="1">
      <alignment horizontal="center" readingOrder="0" shrinkToFit="0" vertical="center" wrapText="1"/>
    </xf>
    <xf borderId="13" fillId="6" fontId="13" numFmtId="0" xfId="0" applyAlignment="1" applyBorder="1" applyFont="1">
      <alignment horizontal="center" shrinkToFit="0" vertical="center" wrapText="1"/>
    </xf>
    <xf borderId="0" fillId="6" fontId="23" numFmtId="0" xfId="0" applyFont="1"/>
    <xf borderId="12" fillId="6" fontId="13" numFmtId="165" xfId="0" applyAlignment="1" applyBorder="1" applyFont="1" applyNumberFormat="1">
      <alignment horizontal="center" vertical="center"/>
    </xf>
    <xf borderId="7" fillId="6" fontId="17" numFmtId="0" xfId="0" applyAlignment="1" applyBorder="1" applyFont="1">
      <alignment horizontal="center" shrinkToFit="0" wrapText="0"/>
    </xf>
    <xf borderId="7" fillId="6" fontId="17" numFmtId="0" xfId="0" applyBorder="1" applyFont="1"/>
    <xf borderId="7" fillId="6" fontId="17" numFmtId="0" xfId="0" applyAlignment="1" applyBorder="1" applyFont="1">
      <alignment horizontal="center"/>
    </xf>
    <xf borderId="7" fillId="6" fontId="7" numFmtId="0" xfId="0" applyAlignment="1" applyBorder="1" applyFont="1">
      <alignment shrinkToFit="0" vertical="bottom" wrapText="0"/>
    </xf>
    <xf borderId="0" fillId="6" fontId="7" numFmtId="0" xfId="0" applyAlignment="1" applyFont="1">
      <alignment shrinkToFit="0" vertical="bottom" wrapText="0"/>
    </xf>
    <xf quotePrefix="1" borderId="13" fillId="0" fontId="30" numFmtId="0" xfId="0" applyAlignment="1" applyBorder="1" applyFont="1">
      <alignment readingOrder="0" shrinkToFit="0" vertical="center" wrapText="1"/>
    </xf>
    <xf borderId="13" fillId="8" fontId="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0" fillId="8" fontId="17" numFmtId="0" xfId="0" applyAlignment="1" applyBorder="1" applyFont="1">
      <alignment horizontal="center" shrinkToFit="0" wrapText="0"/>
    </xf>
    <xf borderId="7" fillId="8" fontId="17" numFmtId="0" xfId="0" applyAlignment="1" applyBorder="1" applyFont="1">
      <alignment horizontal="center" shrinkToFit="0" wrapText="0"/>
    </xf>
    <xf borderId="15" fillId="8" fontId="17" numFmtId="0" xfId="0" applyAlignment="1" applyBorder="1" applyFont="1">
      <alignment horizontal="center" shrinkToFit="0" wrapText="0"/>
    </xf>
    <xf borderId="16" fillId="8" fontId="19" numFmtId="0" xfId="0" applyAlignment="1" applyBorder="1" applyFont="1">
      <alignment horizontal="center"/>
    </xf>
    <xf borderId="16" fillId="8" fontId="17" numFmtId="0" xfId="0" applyAlignment="1" applyBorder="1" applyFont="1">
      <alignment horizontal="center" shrinkToFit="0" wrapText="0"/>
    </xf>
    <xf borderId="16" fillId="8" fontId="17" numFmtId="0" xfId="0" applyBorder="1" applyFont="1"/>
    <xf borderId="4" fillId="0" fontId="31" numFmtId="0" xfId="0" applyAlignment="1" applyBorder="1" applyFont="1">
      <alignment horizontal="center"/>
    </xf>
    <xf borderId="4" fillId="8" fontId="17" numFmtId="0" xfId="0" applyAlignment="1" applyBorder="1" applyFont="1">
      <alignment horizontal="center"/>
    </xf>
    <xf borderId="16" fillId="0" fontId="7" numFmtId="0" xfId="0" applyAlignment="1" applyBorder="1" applyFont="1">
      <alignment shrinkToFit="0" vertical="bottom" wrapText="0"/>
    </xf>
    <xf quotePrefix="1" borderId="13" fillId="0" fontId="13" numFmtId="0" xfId="0" applyAlignment="1" applyBorder="1" applyFont="1">
      <alignment readingOrder="0" shrinkToFit="0" vertical="center" wrapText="1"/>
    </xf>
    <xf borderId="7" fillId="0" fontId="32" numFmtId="0" xfId="0" applyAlignment="1" applyBorder="1" applyFont="1">
      <alignment horizontal="center" shrinkToFit="0" wrapText="0"/>
    </xf>
    <xf borderId="14" fillId="0" fontId="33" numFmtId="0" xfId="0" applyAlignment="1" applyBorder="1" applyFont="1">
      <alignment readingOrder="0" shrinkToFit="0" vertical="center" wrapText="1"/>
    </xf>
    <xf borderId="13" fillId="6" fontId="13" numFmtId="165" xfId="0" applyAlignment="1" applyBorder="1" applyFont="1" applyNumberFormat="1">
      <alignment horizontal="center" vertical="center"/>
    </xf>
    <xf borderId="17" fillId="0" fontId="15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vertical="center"/>
    </xf>
    <xf quotePrefix="1" borderId="17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vertical="center"/>
    </xf>
    <xf quotePrefix="1" borderId="12" fillId="0" fontId="13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readingOrder="0" shrinkToFit="0" vertical="center" wrapText="1"/>
    </xf>
    <xf borderId="12" fillId="0" fontId="13" numFmtId="0" xfId="0" applyAlignment="1" applyBorder="1" applyFont="1">
      <alignment horizontal="center" readingOrder="0" shrinkToFit="0" vertical="center" wrapText="1"/>
    </xf>
    <xf borderId="9" fillId="8" fontId="15" numFmtId="0" xfId="0" applyAlignment="1" applyBorder="1" applyFont="1">
      <alignment horizontal="center" shrinkToFit="0" vertical="center" wrapText="1"/>
    </xf>
    <xf borderId="12" fillId="8" fontId="3" numFmtId="0" xfId="0" applyAlignment="1" applyBorder="1" applyFont="1">
      <alignment horizontal="center" readingOrder="0" shrinkToFit="0" vertical="center" wrapText="1"/>
    </xf>
    <xf quotePrefix="1" borderId="12" fillId="8" fontId="13" numFmtId="0" xfId="0" applyAlignment="1" applyBorder="1" applyFont="1">
      <alignment readingOrder="0" shrinkToFit="0" vertical="center" wrapText="1"/>
    </xf>
    <xf quotePrefix="1" borderId="12" fillId="8" fontId="13" numFmtId="0" xfId="0" applyAlignment="1" applyBorder="1" applyFont="1">
      <alignment shrinkToFit="0" vertical="center" wrapText="1"/>
    </xf>
    <xf borderId="12" fillId="8" fontId="13" numFmtId="0" xfId="0" applyAlignment="1" applyBorder="1" applyFont="1">
      <alignment shrinkToFit="0" vertical="center" wrapText="1"/>
    </xf>
    <xf borderId="12" fillId="8" fontId="13" numFmtId="0" xfId="0" applyAlignment="1" applyBorder="1" applyFont="1">
      <alignment horizontal="center" readingOrder="0" shrinkToFit="0" vertical="center" wrapText="1"/>
    </xf>
    <xf quotePrefix="1" borderId="12" fillId="8" fontId="13" numFmtId="0" xfId="0" applyAlignment="1" applyBorder="1" applyFont="1">
      <alignment horizontal="center" shrinkToFit="0" vertical="center" wrapText="1"/>
    </xf>
    <xf borderId="0" fillId="8" fontId="23" numFmtId="0" xfId="0" applyFont="1"/>
    <xf quotePrefix="1" borderId="12" fillId="0" fontId="13" numFmtId="0" xfId="0" applyAlignment="1" applyBorder="1" applyFont="1">
      <alignment readingOrder="0" shrinkToFit="0" vertical="center" wrapText="1"/>
    </xf>
    <xf borderId="18" fillId="0" fontId="34" numFmtId="0" xfId="0" applyAlignment="1" applyBorder="1" applyFont="1">
      <alignment readingOrder="0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7" fillId="8" fontId="35" numFmtId="0" xfId="0" applyAlignment="1" applyBorder="1" applyFont="1">
      <alignment horizontal="center" shrinkToFit="0" wrapText="0"/>
    </xf>
    <xf borderId="12" fillId="6" fontId="15" numFmtId="0" xfId="0" applyAlignment="1" applyBorder="1" applyFont="1">
      <alignment horizontal="center" shrinkToFit="0" vertical="center" wrapText="1"/>
    </xf>
    <xf borderId="12" fillId="6" fontId="13" numFmtId="0" xfId="0" applyAlignment="1" applyBorder="1" applyFont="1">
      <alignment horizontal="center" vertical="center"/>
    </xf>
    <xf quotePrefix="1" borderId="12" fillId="6" fontId="13" numFmtId="0" xfId="0" applyAlignment="1" applyBorder="1" applyFont="1">
      <alignment shrinkToFit="0" vertical="center" wrapText="1"/>
    </xf>
    <xf borderId="12" fillId="6" fontId="13" numFmtId="0" xfId="0" applyAlignment="1" applyBorder="1" applyFont="1">
      <alignment shrinkToFit="0" vertical="center" wrapText="1"/>
    </xf>
    <xf borderId="12" fillId="6" fontId="36" numFmtId="0" xfId="0" applyAlignment="1" applyBorder="1" applyFont="1">
      <alignment readingOrder="0" shrinkToFit="0" vertical="center" wrapText="1"/>
    </xf>
    <xf borderId="12" fillId="6" fontId="13" numFmtId="0" xfId="0" applyAlignment="1" applyBorder="1" applyFont="1">
      <alignment horizontal="center" readingOrder="0" vertical="center"/>
    </xf>
    <xf borderId="12" fillId="6" fontId="13" numFmtId="0" xfId="0" applyAlignment="1" applyBorder="1" applyFont="1">
      <alignment horizontal="center" shrinkToFit="0" vertical="center" wrapText="1"/>
    </xf>
    <xf borderId="5" fillId="6" fontId="17" numFmtId="0" xfId="0" applyAlignment="1" applyBorder="1" applyFont="1">
      <alignment horizontal="center" shrinkToFit="0" wrapText="0"/>
    </xf>
    <xf borderId="15" fillId="0" fontId="19" numFmtId="0" xfId="0" applyAlignment="1" applyBorder="1" applyFont="1">
      <alignment horizontal="center"/>
    </xf>
    <xf borderId="15" fillId="0" fontId="17" numFmtId="0" xfId="0" applyAlignment="1" applyBorder="1" applyFont="1">
      <alignment horizontal="center" shrinkToFit="0" wrapText="0"/>
    </xf>
    <xf borderId="15" fillId="0" fontId="17" numFmtId="0" xfId="0" applyBorder="1" applyFont="1"/>
    <xf borderId="15" fillId="0" fontId="17" numFmtId="0" xfId="0" applyAlignment="1" applyBorder="1" applyFont="1">
      <alignment horizontal="center"/>
    </xf>
    <xf borderId="19" fillId="0" fontId="7" numFmtId="0" xfId="0" applyAlignment="1" applyBorder="1" applyFont="1">
      <alignment shrinkToFit="0" vertical="bottom" wrapText="0"/>
    </xf>
    <xf borderId="13" fillId="6" fontId="17" numFmtId="0" xfId="0" applyAlignment="1" applyBorder="1" applyFont="1">
      <alignment horizontal="center" shrinkToFit="0" wrapText="0"/>
    </xf>
    <xf borderId="12" fillId="8" fontId="15" numFmtId="0" xfId="0" applyAlignment="1" applyBorder="1" applyFont="1">
      <alignment horizontal="center" shrinkToFit="0" vertical="center" wrapText="1"/>
    </xf>
    <xf quotePrefix="1" borderId="12" fillId="0" fontId="13" numFmtId="17" xfId="0" applyAlignment="1" applyBorder="1" applyFont="1" applyNumberFormat="1">
      <alignment horizontal="center" vertical="center"/>
    </xf>
    <xf borderId="15" fillId="0" fontId="37" numFmtId="0" xfId="0" applyBorder="1" applyFont="1"/>
    <xf borderId="5" fillId="0" fontId="13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5" fillId="6" fontId="19" numFmtId="0" xfId="0" applyAlignment="1" applyBorder="1" applyFont="1">
      <alignment horizontal="center"/>
    </xf>
    <xf borderId="20" fillId="0" fontId="38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wrapText="0"/>
    </xf>
    <xf borderId="15" fillId="6" fontId="17" numFmtId="0" xfId="0" applyBorder="1" applyFont="1"/>
    <xf borderId="15" fillId="6" fontId="17" numFmtId="0" xfId="0" applyAlignment="1" applyBorder="1" applyFont="1">
      <alignment horizontal="center"/>
    </xf>
    <xf borderId="18" fillId="0" fontId="13" numFmtId="0" xfId="0" applyAlignment="1" applyBorder="1" applyFont="1">
      <alignment shrinkToFit="0" vertical="center" wrapText="1"/>
    </xf>
    <xf borderId="7" fillId="6" fontId="39" numFmtId="0" xfId="0" applyAlignment="1" applyBorder="1" applyFont="1">
      <alignment horizontal="center" shrinkToFit="0" wrapText="0"/>
    </xf>
    <xf quotePrefix="1" borderId="18" fillId="0" fontId="13" numFmtId="0" xfId="0" applyAlignment="1" applyBorder="1" applyFont="1">
      <alignment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20" fillId="8" fontId="3" numFmtId="0" xfId="0" applyAlignment="1" applyBorder="1" applyFont="1">
      <alignment horizontal="center" vertical="center"/>
    </xf>
    <xf borderId="20" fillId="9" fontId="3" numFmtId="0" xfId="0" applyAlignment="1" applyBorder="1" applyFill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3" fillId="0" fontId="40" numFmtId="0" xfId="0" applyAlignment="1" applyBorder="1" applyFont="1">
      <alignment horizontal="center" vertical="center"/>
    </xf>
    <xf borderId="18" fillId="6" fontId="13" numFmtId="165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20" fillId="10" fontId="41" numFmtId="0" xfId="0" applyAlignment="1" applyBorder="1" applyFill="1" applyFont="1">
      <alignment horizontal="center" readingOrder="0" shrinkToFit="0" vertical="center" wrapText="1"/>
    </xf>
    <xf borderId="3" fillId="0" fontId="42" numFmtId="0" xfId="0" applyAlignment="1" applyBorder="1" applyFont="1">
      <alignment horizontal="center" readingOrder="0" shrinkToFit="0" vertical="center" wrapText="1"/>
    </xf>
    <xf borderId="20" fillId="0" fontId="43" numFmtId="0" xfId="0" applyAlignment="1" applyBorder="1" applyFont="1">
      <alignment horizontal="center" readingOrder="0" shrinkToFit="0" vertical="center" wrapText="1"/>
    </xf>
    <xf borderId="10" fillId="6" fontId="13" numFmtId="165" xfId="0" applyAlignment="1" applyBorder="1" applyFont="1" applyNumberFormat="1">
      <alignment horizontal="center" readingOrder="0" vertical="center"/>
    </xf>
    <xf borderId="9" fillId="0" fontId="13" numFmtId="0" xfId="0" applyAlignment="1" applyBorder="1" applyFont="1">
      <alignment horizontal="center" vertical="center"/>
    </xf>
    <xf quotePrefix="1" borderId="9" fillId="0" fontId="13" numFmtId="0" xfId="0" applyAlignment="1" applyBorder="1" applyFont="1">
      <alignment shrinkToFit="0" vertical="center" wrapText="1"/>
    </xf>
    <xf borderId="9" fillId="0" fontId="13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shrinkToFit="0" vertical="bottom" wrapText="0"/>
    </xf>
    <xf borderId="9" fillId="0" fontId="44" numFmtId="0" xfId="0" applyAlignment="1" applyBorder="1" applyFont="1">
      <alignment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13" fillId="6" fontId="13" numFmtId="165" xfId="0" applyAlignment="1" applyBorder="1" applyFont="1" applyNumberFormat="1">
      <alignment horizontal="center" readingOrder="0" vertical="center"/>
    </xf>
    <xf borderId="15" fillId="0" fontId="7" numFmtId="0" xfId="0" applyAlignment="1" applyBorder="1" applyFont="1">
      <alignment shrinkToFit="0" vertical="bottom" wrapText="0"/>
    </xf>
    <xf borderId="15" fillId="6" fontId="17" numFmtId="0" xfId="0" applyAlignment="1" applyBorder="1" applyFont="1">
      <alignment horizontal="center" shrinkToFit="0" wrapText="0"/>
    </xf>
    <xf borderId="15" fillId="6" fontId="7" numFmtId="0" xfId="0" applyAlignment="1" applyBorder="1" applyFont="1">
      <alignment shrinkToFit="0" vertical="bottom" wrapText="0"/>
    </xf>
    <xf borderId="15" fillId="6" fontId="2" numFmtId="0" xfId="0" applyAlignment="1" applyBorder="1" applyFont="1">
      <alignment horizontal="center"/>
    </xf>
    <xf quotePrefix="1" borderId="12" fillId="0" fontId="13" numFmtId="0" xfId="0" applyAlignment="1" applyBorder="1" applyFont="1">
      <alignment horizontal="center" shrinkToFit="0" vertical="center" wrapText="1"/>
    </xf>
    <xf borderId="15" fillId="6" fontId="45" numFmtId="0" xfId="0" applyAlignment="1" applyBorder="1" applyFont="1">
      <alignment horizontal="center" shrinkToFit="0" wrapText="0"/>
    </xf>
    <xf borderId="15" fillId="8" fontId="19" numFmtId="0" xfId="0" applyAlignment="1" applyBorder="1" applyFont="1">
      <alignment horizontal="center"/>
    </xf>
    <xf borderId="7" fillId="8" fontId="17" numFmtId="0" xfId="0" applyBorder="1" applyFont="1"/>
    <xf borderId="15" fillId="8" fontId="46" numFmtId="0" xfId="0" applyAlignment="1" applyBorder="1" applyFont="1">
      <alignment horizontal="center" shrinkToFit="0" wrapText="0"/>
    </xf>
    <xf borderId="16" fillId="0" fontId="17" numFmtId="0" xfId="0" applyBorder="1" applyFont="1"/>
    <xf borderId="19" fillId="0" fontId="47" numFmtId="0" xfId="0" applyAlignment="1" applyBorder="1" applyFont="1">
      <alignment horizontal="center"/>
    </xf>
    <xf borderId="19" fillId="0" fontId="17" numFmtId="0" xfId="0" applyAlignment="1" applyBorder="1" applyFont="1">
      <alignment horizontal="center"/>
    </xf>
    <xf borderId="12" fillId="0" fontId="13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9" fillId="7" fontId="15" numFmtId="0" xfId="0" applyAlignment="1" applyBorder="1" applyFont="1">
      <alignment horizontal="center" shrinkToFit="0" vertical="center" wrapText="1"/>
    </xf>
    <xf borderId="12" fillId="7" fontId="13" numFmtId="0" xfId="0" applyAlignment="1" applyBorder="1" applyFont="1">
      <alignment horizontal="center" vertical="center"/>
    </xf>
    <xf quotePrefix="1" borderId="12" fillId="7" fontId="13" numFmtId="0" xfId="0" applyAlignment="1" applyBorder="1" applyFont="1">
      <alignment shrinkToFit="0" vertical="center" wrapText="1"/>
    </xf>
    <xf borderId="12" fillId="7" fontId="13" numFmtId="0" xfId="0" applyAlignment="1" applyBorder="1" applyFont="1">
      <alignment shrinkToFit="0" vertical="center" wrapText="1"/>
    </xf>
    <xf borderId="12" fillId="7" fontId="13" numFmtId="0" xfId="0" applyAlignment="1" applyBorder="1" applyFont="1">
      <alignment horizontal="center" shrinkToFit="0" vertical="center" wrapText="1"/>
    </xf>
    <xf borderId="22" fillId="7" fontId="8" numFmtId="0" xfId="0" applyBorder="1" applyFont="1"/>
    <xf borderId="4" fillId="0" fontId="19" numFmtId="0" xfId="0" applyAlignment="1" applyBorder="1" applyFont="1">
      <alignment horizontal="center"/>
    </xf>
    <xf borderId="4" fillId="8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/>
    </xf>
    <xf borderId="0" fillId="0" fontId="17" numFmtId="0" xfId="0" applyAlignment="1" applyFont="1">
      <alignment horizontal="left" readingOrder="0" shrinkToFit="0" vertical="center" wrapText="1"/>
    </xf>
    <xf borderId="3" fillId="0" fontId="48" numFmtId="0" xfId="0" applyAlignment="1" applyBorder="1" applyFont="1">
      <alignment horizontal="center" shrinkToFit="0" wrapText="0"/>
    </xf>
    <xf borderId="4" fillId="0" fontId="49" numFmtId="0" xfId="0" applyAlignment="1" applyBorder="1" applyFont="1">
      <alignment horizontal="center" shrinkToFit="0" wrapText="0"/>
    </xf>
    <xf borderId="2" fillId="11" fontId="12" numFmtId="0" xfId="0" applyAlignment="1" applyBorder="1" applyFill="1" applyFont="1">
      <alignment horizontal="center" shrinkToFit="0" wrapText="0"/>
    </xf>
    <xf borderId="23" fillId="11" fontId="12" numFmtId="0" xfId="0" applyAlignment="1" applyBorder="1" applyFont="1">
      <alignment horizontal="center" shrinkToFit="0" wrapText="0"/>
    </xf>
    <xf borderId="4" fillId="11" fontId="12" numFmtId="0" xfId="0" applyAlignment="1" applyBorder="1" applyFont="1">
      <alignment horizontal="center" shrinkToFit="0" wrapText="0"/>
    </xf>
    <xf quotePrefix="1" borderId="24" fillId="0" fontId="13" numFmtId="0" xfId="0" applyAlignment="1" applyBorder="1" applyFont="1">
      <alignment shrinkToFit="0" vertical="center" wrapText="1"/>
    </xf>
    <xf borderId="24" fillId="0" fontId="13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shrinkToFit="0" wrapText="0"/>
    </xf>
    <xf borderId="15" fillId="0" fontId="50" numFmtId="0" xfId="0" applyAlignment="1" applyBorder="1" applyFont="1">
      <alignment horizontal="center" shrinkToFit="0" wrapText="0"/>
    </xf>
    <xf borderId="10" fillId="0" fontId="15" numFmtId="0" xfId="0" applyAlignment="1" applyBorder="1" applyFont="1">
      <alignment horizontal="center" shrinkToFit="0" vertical="center" wrapText="1"/>
    </xf>
    <xf borderId="0" fillId="0" fontId="51" numFmtId="0" xfId="0" applyAlignment="1" applyFont="1">
      <alignment horizontal="left" readingOrder="0" shrinkToFit="0" vertical="center" wrapText="1"/>
    </xf>
    <xf borderId="25" fillId="0" fontId="13" numFmtId="0" xfId="0" applyAlignment="1" applyBorder="1" applyFont="1">
      <alignment shrinkToFit="0" vertical="center" wrapText="1"/>
    </xf>
    <xf quotePrefix="1" borderId="25" fillId="0" fontId="13" numFmtId="0" xfId="0" applyAlignment="1" applyBorder="1" applyFont="1">
      <alignment shrinkToFit="0" vertical="center" wrapText="1"/>
    </xf>
    <xf borderId="25" fillId="0" fontId="13" numFmtId="0" xfId="0" applyAlignment="1" applyBorder="1" applyFont="1">
      <alignment horizontal="center" shrinkToFit="0" vertical="center" wrapText="1"/>
    </xf>
    <xf borderId="25" fillId="6" fontId="13" numFmtId="165" xfId="0" applyAlignment="1" applyBorder="1" applyFont="1" applyNumberFormat="1">
      <alignment horizontal="center" readingOrder="0" vertical="center"/>
    </xf>
    <xf borderId="13" fillId="8" fontId="13" numFmtId="0" xfId="0" applyAlignment="1" applyBorder="1" applyFont="1">
      <alignment shrinkToFit="0" vertical="center" wrapText="1"/>
    </xf>
    <xf borderId="13" fillId="6" fontId="8" numFmtId="165" xfId="0" applyAlignment="1" applyBorder="1" applyFont="1" applyNumberFormat="1">
      <alignment readingOrder="0" vertical="center"/>
    </xf>
    <xf borderId="15" fillId="0" fontId="52" numFmtId="0" xfId="0" applyBorder="1" applyFont="1"/>
    <xf borderId="0" fillId="0" fontId="8" numFmtId="0" xfId="0" applyAlignment="1" applyFont="1">
      <alignment vertical="center"/>
    </xf>
    <xf borderId="17" fillId="6" fontId="8" numFmtId="165" xfId="0" applyAlignment="1" applyBorder="1" applyFont="1" applyNumberFormat="1">
      <alignment readingOrder="0" vertical="center"/>
    </xf>
    <xf borderId="7" fillId="6" fontId="2" numFmtId="0" xfId="0" applyAlignment="1" applyBorder="1" applyFont="1">
      <alignment horizontal="center"/>
    </xf>
    <xf borderId="26" fillId="0" fontId="15" numFmtId="0" xfId="0" applyAlignment="1" applyBorder="1" applyFont="1">
      <alignment horizontal="center" shrinkToFit="0" vertical="center" wrapText="1"/>
    </xf>
    <xf borderId="26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shrinkToFit="0" vertical="center" wrapText="1"/>
    </xf>
    <xf quotePrefix="1" borderId="14" fillId="0" fontId="13" numFmtId="0" xfId="0" applyAlignment="1" applyBorder="1" applyFont="1">
      <alignment shrinkToFit="0" vertical="center" wrapText="1"/>
    </xf>
    <xf borderId="7" fillId="8" fontId="19" numFmtId="0" xfId="0" applyAlignment="1" applyBorder="1" applyFont="1">
      <alignment horizontal="center"/>
    </xf>
    <xf borderId="12" fillId="6" fontId="8" numFmtId="165" xfId="0" applyAlignment="1" applyBorder="1" applyFont="1" applyNumberFormat="1">
      <alignment readingOrder="0" vertical="center"/>
    </xf>
    <xf borderId="1" fillId="0" fontId="53" numFmtId="0" xfId="0" applyAlignment="1" applyBorder="1" applyFont="1">
      <alignment horizontal="center" readingOrder="0" shrinkToFit="0" vertical="center" wrapText="1"/>
    </xf>
    <xf borderId="7" fillId="8" fontId="7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horizontal="center" readingOrder="0" shrinkToFit="0" vertical="center" wrapText="1"/>
    </xf>
    <xf borderId="9" fillId="6" fontId="8" numFmtId="165" xfId="0" applyAlignment="1" applyBorder="1" applyFont="1" applyNumberFormat="1">
      <alignment vertical="center"/>
    </xf>
    <xf borderId="3" fillId="9" fontId="3" numFmtId="0" xfId="0" applyAlignment="1" applyBorder="1" applyFont="1">
      <alignment horizontal="center" shrinkToFit="0" vertical="center" wrapText="1"/>
    </xf>
    <xf borderId="6" fillId="6" fontId="8" numFmtId="165" xfId="0" applyAlignment="1" applyBorder="1" applyFont="1" applyNumberFormat="1">
      <alignment vertical="center"/>
    </xf>
    <xf borderId="16" fillId="0" fontId="17" numFmtId="0" xfId="0" applyAlignment="1" applyBorder="1" applyFont="1">
      <alignment horizontal="center" shrinkToFit="0" wrapText="0"/>
    </xf>
    <xf borderId="16" fillId="0" fontId="17" numFmtId="0" xfId="0" applyAlignment="1" applyBorder="1" applyFont="1">
      <alignment horizontal="center"/>
    </xf>
    <xf borderId="4" fillId="0" fontId="7" numFmtId="0" xfId="0" applyAlignment="1" applyBorder="1" applyFont="1">
      <alignment shrinkToFit="0" vertical="bottom" wrapText="0"/>
    </xf>
    <xf borderId="20" fillId="8" fontId="8" numFmtId="0" xfId="0" applyAlignment="1" applyBorder="1" applyFont="1">
      <alignment vertical="center"/>
    </xf>
    <xf borderId="19" fillId="6" fontId="7" numFmtId="0" xfId="0" applyAlignment="1" applyBorder="1" applyFont="1">
      <alignment shrinkToFit="0" vertical="bottom" wrapText="0"/>
    </xf>
    <xf borderId="3" fillId="0" fontId="54" numFmtId="0" xfId="0" applyAlignment="1" applyBorder="1" applyFont="1">
      <alignment horizontal="center" shrinkToFit="0" vertical="center" wrapText="1"/>
    </xf>
    <xf borderId="20" fillId="0" fontId="55" numFmtId="0" xfId="0" applyAlignment="1" applyBorder="1" applyFont="1">
      <alignment horizontal="center" shrinkToFit="0" vertical="center" wrapText="1"/>
    </xf>
    <xf borderId="0" fillId="0" fontId="56" numFmtId="0" xfId="0" applyAlignment="1" applyFont="1">
      <alignment horizontal="left"/>
    </xf>
    <xf borderId="10" fillId="0" fontId="17" numFmtId="0" xfId="0" applyBorder="1" applyFont="1"/>
    <xf borderId="0" fillId="6" fontId="8" numFmtId="0" xfId="0" applyAlignment="1" applyFont="1">
      <alignment horizontal="center"/>
    </xf>
    <xf borderId="0" fillId="0" fontId="8" numFmtId="0" xfId="0" applyAlignment="1" applyFont="1">
      <alignment horizontal="center"/>
    </xf>
    <xf borderId="16" fillId="0" fontId="57" numFmtId="0" xfId="0" applyAlignment="1" applyBorder="1" applyFont="1">
      <alignment horizontal="center" shrinkToFit="0" wrapText="0"/>
    </xf>
    <xf borderId="0" fillId="0" fontId="58" numFmtId="0" xfId="0" applyAlignment="1" applyFont="1">
      <alignment horizontal="left" shrinkToFit="0" wrapText="0"/>
    </xf>
    <xf borderId="5" fillId="0" fontId="17" numFmtId="0" xfId="0" applyBorder="1" applyFont="1"/>
    <xf borderId="5" fillId="8" fontId="17" numFmtId="0" xfId="0" applyAlignment="1" applyBorder="1" applyFont="1">
      <alignment horizontal="center" shrinkToFit="0" wrapText="0"/>
    </xf>
    <xf borderId="19" fillId="8" fontId="19" numFmtId="0" xfId="0" applyAlignment="1" applyBorder="1" applyFont="1">
      <alignment horizontal="center"/>
    </xf>
    <xf borderId="19" fillId="8" fontId="17" numFmtId="0" xfId="0" applyAlignment="1" applyBorder="1" applyFont="1">
      <alignment horizontal="center" shrinkToFit="0" wrapText="0"/>
    </xf>
    <xf borderId="19" fillId="8" fontId="7" numFmtId="0" xfId="0" applyAlignment="1" applyBorder="1" applyFont="1">
      <alignment shrinkToFit="0" vertical="bottom" wrapText="0"/>
    </xf>
    <xf borderId="14" fillId="6" fontId="17" numFmtId="0" xfId="0" applyAlignment="1" applyBorder="1" applyFont="1">
      <alignment horizontal="center" shrinkToFit="0" wrapText="0"/>
    </xf>
    <xf borderId="5" fillId="6" fontId="7" numFmtId="0" xfId="0" applyAlignment="1" applyBorder="1" applyFont="1">
      <alignment shrinkToFit="0" wrapText="0"/>
    </xf>
    <xf borderId="13" fillId="6" fontId="7" numFmtId="0" xfId="0" applyAlignment="1" applyBorder="1" applyFont="1">
      <alignment shrinkToFit="0" wrapText="0"/>
    </xf>
    <xf borderId="0" fillId="6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 Sun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EVI_ENGLISH" name="EVI_ENGLISH" id="1">
  <tableColumns count="2">
    <tableColumn name="Grade" id="1"/>
    <tableColumn name="SUN 2" id="2"/>
  </tableColumns>
  <tableStyleInfo name="Lesson Report Sun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VXvxbP9x-fHbY2ixLcIGw7UBcc5WaNvB?usp=sharing" TargetMode="External"/><Relationship Id="rId22" Type="http://schemas.openxmlformats.org/officeDocument/2006/relationships/hyperlink" Target="https://docs.google.com/presentation/d/17RS6RKm6QlZy5u5abg2YyQV1RLkQCqJO/edit?slide=id.p12" TargetMode="External"/><Relationship Id="rId21" Type="http://schemas.openxmlformats.org/officeDocument/2006/relationships/hyperlink" Target="https://docs.google.com/presentation/d/1q4OBDz97MMcH7o472QIT2x_anJqeeudf/edit?slide=id.p23" TargetMode="External"/><Relationship Id="rId24" Type="http://schemas.openxmlformats.org/officeDocument/2006/relationships/hyperlink" Target="https://docs.google.com/presentation/d/1bngdqKE6nmx1g5UnyMHQFqaMowWuV7vz/edit?slide=id.p3" TargetMode="External"/><Relationship Id="rId23" Type="http://schemas.openxmlformats.org/officeDocument/2006/relationships/hyperlink" Target="https://www.youtube.com/watch?v=o7Cbn0PzVIw&amp;list=PLii5rkhsE0Ld3xCgxG6j5fw7RlG2S5czO&amp;index=88" TargetMode="External"/><Relationship Id="rId1" Type="http://schemas.openxmlformats.org/officeDocument/2006/relationships/hyperlink" Target="https://www.youtube.com/watch?v=pwj1cQiwKBg&amp;list=PLii5rkhsE0Ld3xCgxG6j5fw7RlG2S5czO&amp;index=64" TargetMode="External"/><Relationship Id="rId2" Type="http://schemas.openxmlformats.org/officeDocument/2006/relationships/hyperlink" Target="https://www.youtube.com/watch?v=yqlbn_nI2w8&amp;list=RDyqlbn_nI2w8&amp;start_radio=1" TargetMode="External"/><Relationship Id="rId3" Type="http://schemas.openxmlformats.org/officeDocument/2006/relationships/hyperlink" Target="https://docs.google.com/presentation/d/1E50rhr1wXH-Ui5TIlYTUBb4NYBU9AQp2/edit?slide=id.p3" TargetMode="External"/><Relationship Id="rId4" Type="http://schemas.openxmlformats.org/officeDocument/2006/relationships/hyperlink" Target="https://www.youtube.com/watch?v=UFy02dqJCUs&amp;list=PLii5rkhsE0Ld3xCgxG6j5fw7RlG2S5czO&amp;index=103" TargetMode="External"/><Relationship Id="rId9" Type="http://schemas.openxmlformats.org/officeDocument/2006/relationships/hyperlink" Target="https://docs.google.com/presentation/d/1si5AP7C2IlLPwbC7vCJENz2IsOz7t7qT/edit?slide=id.p8" TargetMode="External"/><Relationship Id="rId26" Type="http://schemas.openxmlformats.org/officeDocument/2006/relationships/hyperlink" Target="https://docs.google.com/presentation/d/1QbwQh7fC_sEfzXIW5sELOAHSsSjX_RRu/edit?slide=id.p1" TargetMode="External"/><Relationship Id="rId25" Type="http://schemas.openxmlformats.org/officeDocument/2006/relationships/hyperlink" Target="https://docs.google.com/presentation/d/19ZufIG4SI7-jkrqkXhXutZ39kYnlDFK6/edit?slide=id.p1" TargetMode="External"/><Relationship Id="rId28" Type="http://schemas.openxmlformats.org/officeDocument/2006/relationships/hyperlink" Target="https://docs.google.com/presentation/d/1wAJisKulrpcpnEIqwwjM0YRmuIPx74lJ/edit?slide=id.p2" TargetMode="External"/><Relationship Id="rId27" Type="http://schemas.openxmlformats.org/officeDocument/2006/relationships/hyperlink" Target="https://docs.google.com/presentation/d/1oQUTnQieHpV2EnCoGqbzYVN-lHQsSfLt/edit?slide=id.p1" TargetMode="External"/><Relationship Id="rId5" Type="http://schemas.openxmlformats.org/officeDocument/2006/relationships/hyperlink" Target="https://www.youtube.com/watch?v=aVSnDZHNEQc&amp;list=RDaVSnDZHNEQc&amp;start_radio=1" TargetMode="External"/><Relationship Id="rId6" Type="http://schemas.openxmlformats.org/officeDocument/2006/relationships/hyperlink" Target="https://docs.google.com/presentation/d/1NQWJQYI3RF_UHbw80hA4WcIYgR5bEBU0/edit?slide=id.p9" TargetMode="External"/><Relationship Id="rId29" Type="http://schemas.openxmlformats.org/officeDocument/2006/relationships/hyperlink" Target="https://drive.google.com/drive/folders/1ZADzDR385YFxvkJPbalZi2pgUxS1mVUJ" TargetMode="External"/><Relationship Id="rId7" Type="http://schemas.openxmlformats.org/officeDocument/2006/relationships/hyperlink" Target="https://www.youtube.com/watch?v=xYGlhOR86mM&amp;list=PLii5rkhsE0Ld3xCgxG6j5fw7RlG2S5czO&amp;index=102" TargetMode="External"/><Relationship Id="rId8" Type="http://schemas.openxmlformats.org/officeDocument/2006/relationships/hyperlink" Target="https://www.youtube.com/watch?v=KkB3jcqyQ5g&amp;list=RDKkB3jcqyQ5g&amp;start_radio=1" TargetMode="External"/><Relationship Id="rId31" Type="http://schemas.openxmlformats.org/officeDocument/2006/relationships/hyperlink" Target="https://drive.google.com/drive/u/0/folders/1EfW4D21vZtNu9qWoB7p9aFzr0JxOMJMy" TargetMode="External"/><Relationship Id="rId30" Type="http://schemas.openxmlformats.org/officeDocument/2006/relationships/hyperlink" Target="https://docs.google.com/presentation/d/14A1_Ql1MQyFbddHC84mmiQtAq57hhJl7/edit?slide=id.p10" TargetMode="External"/><Relationship Id="rId11" Type="http://schemas.openxmlformats.org/officeDocument/2006/relationships/hyperlink" Target="https://docs.google.com/presentation/d/1dii4WAKAWEuzmc8FsUwcYlKvZLtlvdWc/edit?slide=id.p1" TargetMode="External"/><Relationship Id="rId10" Type="http://schemas.openxmlformats.org/officeDocument/2006/relationships/hyperlink" Target="https://www.youtube.com/watch?v=j-XXk3dVeag&amp;list=PLii5rkhsE0Ld3xCgxG6j5fw7RlG2S5czO&amp;index=63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presentation/d/13trfiBrMXJUgdstUVGtzLzSKxT9uYyKI/edit?slide=id.p1" TargetMode="External"/><Relationship Id="rId12" Type="http://schemas.openxmlformats.org/officeDocument/2006/relationships/hyperlink" Target="https://drive.google.com/file/d/14B6uyEnQsTs4E1Ppyerkb5rGj6QByPjo/view?usp=sharing" TargetMode="External"/><Relationship Id="rId15" Type="http://schemas.openxmlformats.org/officeDocument/2006/relationships/hyperlink" Target="https://drive.google.com/file/d/15icy5zuxqNQJjE9r_-X-ZrLKP_ITOYXC/view?usp=sharing" TargetMode="External"/><Relationship Id="rId14" Type="http://schemas.openxmlformats.org/officeDocument/2006/relationships/hyperlink" Target="https://www.youtube.com/watch?v=49QFHWIky-k&amp;list=PLii5rkhsE0Ld3xCgxG6j5fw7RlG2S5czO&amp;index=69" TargetMode="External"/><Relationship Id="rId17" Type="http://schemas.openxmlformats.org/officeDocument/2006/relationships/hyperlink" Target="https://drive.google.com/drive/folders/1VXvxbP9x-fHbY2ixLcIGw7UBcc5WaNvB?usp=sharing" TargetMode="External"/><Relationship Id="rId16" Type="http://schemas.openxmlformats.org/officeDocument/2006/relationships/hyperlink" Target="https://docs.google.com/presentation/d/1waQMd-DZSTryXJg6q8VvfykP0bmT5fRB/edit?slide=id.p14" TargetMode="External"/><Relationship Id="rId19" Type="http://schemas.openxmlformats.org/officeDocument/2006/relationships/hyperlink" Target="https://drive.google.com/drive/folders/1arR99MQBUxFtv5VzAWEopKBT1Z2Jf5YK" TargetMode="External"/><Relationship Id="rId18" Type="http://schemas.openxmlformats.org/officeDocument/2006/relationships/hyperlink" Target="https://drive.google.com/drive/folders/1VXvxbP9x-fHbY2ixLcIGw7UBcc5WaNvB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HnrrTHHWrdYXW3H9bTmXvyFpV4VJqgI/view?usp=drive_link" TargetMode="External"/><Relationship Id="rId22" Type="http://schemas.openxmlformats.org/officeDocument/2006/relationships/hyperlink" Target="https://drive.google.com/drive/folders/117SHPY9oYP2DdWYVHZSgCmJnh2KOani3?usp=drive_link" TargetMode="External"/><Relationship Id="rId21" Type="http://schemas.openxmlformats.org/officeDocument/2006/relationships/hyperlink" Target="https://docs.google.com/presentation/d/1hq0NwKXRB9R3cBwbRntoK0oFqLYoSKid/edit?usp=drive_link&amp;ouid=112386796071867649014&amp;rtpof=true&amp;sd=true" TargetMode="External"/><Relationship Id="rId24" Type="http://schemas.openxmlformats.org/officeDocument/2006/relationships/hyperlink" Target="https://drive.google.com/drive/folders/1qLZLE8LGoXeo5cC1t2hwM4SETY95J_s9?usp=drive_link" TargetMode="External"/><Relationship Id="rId23" Type="http://schemas.openxmlformats.org/officeDocument/2006/relationships/hyperlink" Target="https://docs.google.com/presentation/d/1lCTy57Vje6Tqdj9MPx_C_al7PpT07oNz/edit?usp=drive_link&amp;ouid=112386796071867649014&amp;rtpof=true&amp;sd=true" TargetMode="External"/><Relationship Id="rId1" Type="http://schemas.openxmlformats.org/officeDocument/2006/relationships/hyperlink" Target="https://docs.google.com/presentation/d/1JZywbj9P_ju19ui3KBw2iIlzyl7cBJ00/edit?usp=drive_link&amp;ouid=112386796071867649014&amp;rtpof=true&amp;sd=true" TargetMode="External"/><Relationship Id="rId2" Type="http://schemas.openxmlformats.org/officeDocument/2006/relationships/hyperlink" Target="https://docs.google.com/presentation/d/14yokl_-yehP-fMvnGgPynvlCGyqR7gkT/edit?usp=drive_link&amp;ouid=112386796071867649014&amp;rtpof=true&amp;sd=true" TargetMode="External"/><Relationship Id="rId3" Type="http://schemas.openxmlformats.org/officeDocument/2006/relationships/hyperlink" Target="https://drive.google.com/file/d/1KjabzypLPDVwqyExBKg3Nw9GQ-Q1krzr/view?usp=sharing" TargetMode="External"/><Relationship Id="rId4" Type="http://schemas.openxmlformats.org/officeDocument/2006/relationships/hyperlink" Target="https://docs.google.com/presentation/d/1G6LtnOmunA-fmfGC4iopUa9O7StCkVIg/edit?usp=drive_link&amp;ouid=112386796071867649014&amp;rtpof=true&amp;sd=true" TargetMode="External"/><Relationship Id="rId9" Type="http://schemas.openxmlformats.org/officeDocument/2006/relationships/hyperlink" Target="https://drive.google.com/file/d/1KjabzypLPDVwqyExBKg3Nw9GQ-Q1krzr/view?usp=sharing" TargetMode="External"/><Relationship Id="rId26" Type="http://schemas.openxmlformats.org/officeDocument/2006/relationships/hyperlink" Target="https://drive.google.com/file/d/1PHnrrTHHWrdYXW3H9bTmXvyFpV4VJqgI/view?usp=drive_link" TargetMode="External"/><Relationship Id="rId25" Type="http://schemas.openxmlformats.org/officeDocument/2006/relationships/hyperlink" Target="https://drive.google.com/file/d/1PHnrrTHHWrdYXW3H9bTmXvyFpV4VJqgI/view?usp=drive_link" TargetMode="External"/><Relationship Id="rId28" Type="http://schemas.openxmlformats.org/officeDocument/2006/relationships/hyperlink" Target="https://drive.google.com/drive/folders/1VXvxbP9x-fHbY2ixLcIGw7UBcc5WaNvB?usp=sharing" TargetMode="External"/><Relationship Id="rId27" Type="http://schemas.openxmlformats.org/officeDocument/2006/relationships/hyperlink" Target="https://drive.google.com/file/d/1PHnrrTHHWrdYXW3H9bTmXvyFpV4VJqgI/view?usp=drive_link" TargetMode="External"/><Relationship Id="rId5" Type="http://schemas.openxmlformats.org/officeDocument/2006/relationships/hyperlink" Target="https://docs.google.com/presentation/d/1VFSOZE_YMh45KbIBb5Oz0xf0jmq8J7_-/edit?usp=drive_link&amp;ouid=112386796071867649014&amp;rtpof=true&amp;sd=true" TargetMode="External"/><Relationship Id="rId6" Type="http://schemas.openxmlformats.org/officeDocument/2006/relationships/hyperlink" Target="https://drive.google.com/file/d/1KjabzypLPDVwqyExBKg3Nw9GQ-Q1krzr/view?usp=sharing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docs.google.com/presentation/d/1FpvUnX65S4B21VUoIVwS5OAOBMnA-eNC/edit?usp=drive_link&amp;ouid=112386796071867649014&amp;rtpof=true&amp;sd=true" TargetMode="External"/><Relationship Id="rId8" Type="http://schemas.openxmlformats.org/officeDocument/2006/relationships/hyperlink" Target="https://docs.google.com/presentation/d/1O4SS_LKi6p7CzPkycgwm0UhFtDI4KuMA/edit?usp=drive_link&amp;ouid=112386796071867649014&amp;rtpof=true&amp;sd=true" TargetMode="External"/><Relationship Id="rId11" Type="http://schemas.openxmlformats.org/officeDocument/2006/relationships/hyperlink" Target="https://drive.google.com/file/d/1KjabzypLPDVwqyExBKg3Nw9GQ-Q1krzr/view?usp=sharing" TargetMode="External"/><Relationship Id="rId10" Type="http://schemas.openxmlformats.org/officeDocument/2006/relationships/hyperlink" Target="https://drive.google.com/file/d/1KjabzypLPDVwqyExBKg3Nw9GQ-Q1krzr/view?usp=sharing" TargetMode="External"/><Relationship Id="rId13" Type="http://schemas.openxmlformats.org/officeDocument/2006/relationships/hyperlink" Target="https://drive.google.com/drive/folders/1xjURjcK425MZ_fBbvtCU4H5Sij-im1Ih?usp=drive_link" TargetMode="External"/><Relationship Id="rId12" Type="http://schemas.openxmlformats.org/officeDocument/2006/relationships/hyperlink" Target="https://drive.google.com/drive/folders/1VXvxbP9x-fHbY2ixLcIGw7UBcc5WaNvB?usp=sharing" TargetMode="External"/><Relationship Id="rId15" Type="http://schemas.openxmlformats.org/officeDocument/2006/relationships/hyperlink" Target="https://docs.google.com/presentation/d/1kZSrqoczWFYahEh12K8x9Cdz7BlnUwIl/edit?usp=drive_link&amp;ouid=112386796071867649014&amp;rtpof=true&amp;sd=true" TargetMode="External"/><Relationship Id="rId14" Type="http://schemas.openxmlformats.org/officeDocument/2006/relationships/hyperlink" Target="https://docs.google.com/presentation/d/1a7wpz4ocI1JlyIWqAO5GhtM0GTIyw7FJ/edit?usp=drive_link&amp;ouid=112386796071867649014&amp;rtpof=true&amp;sd=true" TargetMode="External"/><Relationship Id="rId17" Type="http://schemas.openxmlformats.org/officeDocument/2006/relationships/hyperlink" Target="https://docs.google.com/presentation/d/1s0KN_uPhRspmsL6ceLTtPra6-6sCmqhd/edit?usp=drive_link&amp;ouid=112386796071867649014&amp;rtpof=true&amp;sd=true" TargetMode="External"/><Relationship Id="rId16" Type="http://schemas.openxmlformats.org/officeDocument/2006/relationships/hyperlink" Target="https://drive.google.com/file/d/1PHnrrTHHWrdYXW3H9bTmXvyFpV4VJqgI/view?usp=drive_link" TargetMode="External"/><Relationship Id="rId19" Type="http://schemas.openxmlformats.org/officeDocument/2006/relationships/hyperlink" Target="https://docs.google.com/presentation/d/1Vb5mBpZGh1zEW351fF4vx9bOvAOFpzxb/edit?usp=drive_link&amp;ouid=112386796071867649014&amp;rtpof=true&amp;sd=true" TargetMode="External"/><Relationship Id="rId18" Type="http://schemas.openxmlformats.org/officeDocument/2006/relationships/hyperlink" Target="https://drive.google.com/drive/folders/1P2hflQymYNcU57F5r_4cadLrJbQoZvkz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71"/>
    <col customWidth="1" min="4" max="4" width="18.43"/>
    <col customWidth="1" min="5" max="5" width="46.57"/>
    <col customWidth="1" min="6" max="6" width="41.57"/>
    <col customWidth="1" min="7" max="7" width="52.0"/>
    <col customWidth="1" hidden="1" min="8" max="8" width="52.0"/>
    <col customWidth="1" min="9" max="9" width="31.29"/>
    <col customWidth="1" min="10" max="10" width="19.86"/>
    <col customWidth="1" min="11" max="25" width="8.71"/>
  </cols>
  <sheetData>
    <row r="1" ht="44.25" customHeight="1">
      <c r="A1" s="1" t="s">
        <v>1</v>
      </c>
    </row>
    <row r="2" ht="29.25" customHeight="1">
      <c r="A2" s="3" t="s">
        <v>0</v>
      </c>
      <c r="B2" s="3" t="s">
        <v>2</v>
      </c>
      <c r="C2" s="5" t="s">
        <v>3</v>
      </c>
      <c r="D2" s="3" t="s">
        <v>5</v>
      </c>
      <c r="E2" s="8" t="s">
        <v>6</v>
      </c>
      <c r="F2" s="7"/>
      <c r="G2" s="7"/>
      <c r="H2" s="7"/>
      <c r="I2" s="7"/>
      <c r="J2" s="9"/>
    </row>
    <row r="3" ht="21.0" customHeight="1">
      <c r="A3" s="11"/>
      <c r="B3" s="11"/>
      <c r="C3" s="11"/>
      <c r="D3" s="11"/>
      <c r="E3" s="5" t="s">
        <v>8</v>
      </c>
      <c r="F3" s="13" t="s">
        <v>9</v>
      </c>
      <c r="G3" s="5" t="s">
        <v>10</v>
      </c>
      <c r="H3" s="13" t="s">
        <v>14</v>
      </c>
      <c r="I3" s="18" t="s">
        <v>13</v>
      </c>
      <c r="J3" s="9"/>
    </row>
    <row r="4" ht="36.0" customHeight="1">
      <c r="A4" s="19"/>
      <c r="B4" s="19"/>
      <c r="C4" s="19"/>
      <c r="D4" s="19"/>
      <c r="E4" s="19"/>
      <c r="F4" s="19"/>
      <c r="G4" s="19"/>
      <c r="H4" s="19"/>
      <c r="I4" s="24" t="s">
        <v>18</v>
      </c>
      <c r="J4" s="25" t="s">
        <v>19</v>
      </c>
    </row>
    <row r="5" ht="144.0" customHeight="1">
      <c r="A5" s="28"/>
      <c r="B5" s="30">
        <v>1.0</v>
      </c>
      <c r="C5" s="32" t="s">
        <v>20</v>
      </c>
      <c r="D5" s="34">
        <v>4.0</v>
      </c>
      <c r="E5" s="36" t="s">
        <v>21</v>
      </c>
      <c r="F5" s="38" t="s">
        <v>23</v>
      </c>
      <c r="G5" s="40" t="s">
        <v>25</v>
      </c>
      <c r="H5" s="47" t="s">
        <v>28</v>
      </c>
      <c r="I5" s="30" t="s">
        <v>37</v>
      </c>
      <c r="J5" s="49" t="s">
        <v>30</v>
      </c>
    </row>
    <row r="6" ht="138.0" customHeight="1">
      <c r="A6" s="50"/>
      <c r="B6" s="52">
        <v>2.0</v>
      </c>
      <c r="C6" s="53" t="s">
        <v>20</v>
      </c>
      <c r="D6" s="54">
        <v>45813.0</v>
      </c>
      <c r="E6" s="56" t="s">
        <v>42</v>
      </c>
      <c r="F6" s="57" t="s">
        <v>46</v>
      </c>
      <c r="G6" s="57" t="s">
        <v>47</v>
      </c>
      <c r="H6" s="58"/>
      <c r="I6" s="59" t="s">
        <v>48</v>
      </c>
      <c r="J6" s="60" t="s">
        <v>36</v>
      </c>
      <c r="L6" s="61"/>
    </row>
    <row r="7" ht="93.0" customHeight="1">
      <c r="A7" s="50"/>
      <c r="B7" s="30">
        <v>3.0</v>
      </c>
      <c r="C7" s="53" t="s">
        <v>20</v>
      </c>
      <c r="D7" s="63">
        <v>7.0</v>
      </c>
      <c r="E7" s="65" t="s">
        <v>50</v>
      </c>
      <c r="F7" s="65" t="s">
        <v>52</v>
      </c>
      <c r="G7" s="65" t="s">
        <v>54</v>
      </c>
      <c r="H7" s="66"/>
      <c r="I7" s="52" t="s">
        <v>56</v>
      </c>
      <c r="J7" s="60" t="s">
        <v>57</v>
      </c>
    </row>
    <row r="8" ht="123.75" customHeight="1">
      <c r="A8" s="50"/>
      <c r="B8" s="52">
        <v>4.0</v>
      </c>
      <c r="C8" s="53" t="s">
        <v>20</v>
      </c>
      <c r="D8" s="69" t="s">
        <v>60</v>
      </c>
      <c r="E8" s="73" t="s">
        <v>63</v>
      </c>
      <c r="F8" s="65" t="s">
        <v>70</v>
      </c>
      <c r="G8" s="65" t="s">
        <v>72</v>
      </c>
      <c r="H8" s="66"/>
      <c r="I8" s="52" t="s">
        <v>73</v>
      </c>
      <c r="J8" s="74" t="s">
        <v>74</v>
      </c>
    </row>
    <row r="9" ht="130.5" customHeight="1">
      <c r="A9" s="50"/>
      <c r="B9" s="30">
        <v>5.0</v>
      </c>
      <c r="C9" s="53" t="s">
        <v>20</v>
      </c>
      <c r="D9" s="75" t="s">
        <v>75</v>
      </c>
      <c r="E9" s="76" t="s">
        <v>76</v>
      </c>
      <c r="F9" s="65" t="s">
        <v>77</v>
      </c>
      <c r="G9" s="65" t="s">
        <v>78</v>
      </c>
      <c r="H9" s="66"/>
      <c r="I9" s="77" t="s">
        <v>79</v>
      </c>
      <c r="J9" s="74" t="s">
        <v>80</v>
      </c>
    </row>
    <row r="10" ht="108.75" customHeight="1">
      <c r="A10" s="50"/>
      <c r="B10" s="52">
        <v>6.0</v>
      </c>
      <c r="C10" s="78" t="s">
        <v>81</v>
      </c>
      <c r="D10" s="79" t="s">
        <v>82</v>
      </c>
      <c r="E10" s="65" t="s">
        <v>83</v>
      </c>
      <c r="F10" s="76" t="s">
        <v>84</v>
      </c>
      <c r="G10" s="65" t="s">
        <v>85</v>
      </c>
      <c r="H10" s="80" t="s">
        <v>86</v>
      </c>
      <c r="I10" s="77" t="s">
        <v>87</v>
      </c>
      <c r="J10" s="60" t="s">
        <v>71</v>
      </c>
    </row>
    <row r="11" ht="69.75" customHeight="1">
      <c r="A11" s="50"/>
      <c r="B11" s="30">
        <v>7.0</v>
      </c>
      <c r="C11" s="81" t="s">
        <v>81</v>
      </c>
      <c r="D11" s="82" t="s">
        <v>88</v>
      </c>
      <c r="E11" s="83" t="s">
        <v>89</v>
      </c>
      <c r="F11" s="84" t="s">
        <v>90</v>
      </c>
      <c r="G11" s="84" t="s">
        <v>91</v>
      </c>
      <c r="H11" s="58"/>
      <c r="I11" s="85" t="s">
        <v>92</v>
      </c>
      <c r="J11" s="86" t="s">
        <v>93</v>
      </c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108.0" customHeight="1">
      <c r="A12" s="88"/>
      <c r="B12" s="52">
        <v>8.0</v>
      </c>
      <c r="C12" s="78" t="s">
        <v>81</v>
      </c>
      <c r="D12" s="79" t="s">
        <v>94</v>
      </c>
      <c r="E12" s="94" t="s">
        <v>95</v>
      </c>
      <c r="F12" s="65" t="s">
        <v>106</v>
      </c>
      <c r="G12" s="65" t="s">
        <v>107</v>
      </c>
      <c r="H12" s="66"/>
      <c r="I12" s="77" t="s">
        <v>108</v>
      </c>
      <c r="J12" s="60" t="s">
        <v>109</v>
      </c>
    </row>
    <row r="13" ht="111.75" customHeight="1">
      <c r="A13" s="88"/>
      <c r="B13" s="30">
        <v>9.0</v>
      </c>
      <c r="C13" s="78" t="s">
        <v>81</v>
      </c>
      <c r="D13" s="79" t="s">
        <v>111</v>
      </c>
      <c r="E13" s="73" t="s">
        <v>113</v>
      </c>
      <c r="F13" s="76" t="s">
        <v>114</v>
      </c>
      <c r="G13" s="65" t="s">
        <v>115</v>
      </c>
      <c r="H13" s="66"/>
      <c r="I13" s="77" t="s">
        <v>116</v>
      </c>
      <c r="J13" s="74" t="s">
        <v>117</v>
      </c>
    </row>
    <row r="14" ht="66.75" customHeight="1">
      <c r="A14" s="88"/>
      <c r="B14" s="52">
        <v>10.0</v>
      </c>
      <c r="C14" s="78" t="s">
        <v>81</v>
      </c>
      <c r="D14" s="95" t="s">
        <v>121</v>
      </c>
      <c r="E14" s="65" t="s">
        <v>122</v>
      </c>
      <c r="F14" s="65" t="s">
        <v>123</v>
      </c>
      <c r="G14" s="65" t="s">
        <v>78</v>
      </c>
      <c r="H14" s="66"/>
      <c r="I14" s="77" t="s">
        <v>124</v>
      </c>
      <c r="J14" s="74" t="s">
        <v>126</v>
      </c>
    </row>
    <row r="15" ht="60.75" customHeight="1">
      <c r="A15" s="88"/>
      <c r="B15" s="30">
        <v>11.0</v>
      </c>
      <c r="C15" s="78" t="s">
        <v>128</v>
      </c>
      <c r="D15" s="96">
        <v>18.0</v>
      </c>
      <c r="E15" s="65" t="s">
        <v>129</v>
      </c>
      <c r="F15" s="65" t="s">
        <v>130</v>
      </c>
      <c r="G15" s="65" t="s">
        <v>131</v>
      </c>
      <c r="H15" s="80" t="s">
        <v>132</v>
      </c>
      <c r="I15" s="77" t="s">
        <v>138</v>
      </c>
      <c r="J15" s="60" t="s">
        <v>140</v>
      </c>
    </row>
    <row r="16" ht="99.0" customHeight="1">
      <c r="A16" s="88"/>
      <c r="B16" s="52">
        <v>12.0</v>
      </c>
      <c r="C16" s="78" t="s">
        <v>128</v>
      </c>
      <c r="D16" s="96">
        <v>19.0</v>
      </c>
      <c r="E16" s="65" t="s">
        <v>143</v>
      </c>
      <c r="F16" s="65" t="s">
        <v>144</v>
      </c>
      <c r="G16" s="66" t="s">
        <v>145</v>
      </c>
      <c r="H16" s="58"/>
      <c r="I16" s="77" t="s">
        <v>146</v>
      </c>
      <c r="J16" s="60" t="s">
        <v>93</v>
      </c>
    </row>
    <row r="17" ht="78.0" customHeight="1">
      <c r="A17" s="88"/>
      <c r="B17" s="30">
        <v>13.0</v>
      </c>
      <c r="C17" s="78" t="s">
        <v>128</v>
      </c>
      <c r="D17" s="52" t="s">
        <v>147</v>
      </c>
      <c r="E17" s="94" t="s">
        <v>148</v>
      </c>
      <c r="F17" s="65" t="s">
        <v>150</v>
      </c>
      <c r="G17" s="65" t="s">
        <v>151</v>
      </c>
      <c r="H17" s="66"/>
      <c r="I17" s="52" t="s">
        <v>152</v>
      </c>
      <c r="J17" s="60" t="s">
        <v>153</v>
      </c>
    </row>
    <row r="18" ht="103.5" customHeight="1">
      <c r="A18" s="88"/>
      <c r="B18" s="52">
        <v>14.0</v>
      </c>
      <c r="C18" s="78" t="s">
        <v>128</v>
      </c>
      <c r="D18" s="69" t="s">
        <v>157</v>
      </c>
      <c r="E18" s="106" t="s">
        <v>158</v>
      </c>
      <c r="F18" s="66" t="s">
        <v>159</v>
      </c>
      <c r="G18" s="65" t="s">
        <v>160</v>
      </c>
      <c r="I18" s="77" t="s">
        <v>161</v>
      </c>
      <c r="J18" s="74" t="s">
        <v>162</v>
      </c>
    </row>
    <row r="19">
      <c r="A19" s="88"/>
      <c r="B19" s="30">
        <v>15.0</v>
      </c>
      <c r="C19" s="78" t="s">
        <v>128</v>
      </c>
      <c r="D19" s="75" t="s">
        <v>163</v>
      </c>
      <c r="E19" s="76" t="s">
        <v>164</v>
      </c>
      <c r="F19" s="65" t="s">
        <v>165</v>
      </c>
      <c r="G19" s="65" t="s">
        <v>78</v>
      </c>
      <c r="H19" s="66"/>
      <c r="I19" s="77" t="s">
        <v>166</v>
      </c>
      <c r="J19" s="74" t="s">
        <v>126</v>
      </c>
    </row>
    <row r="20" ht="53.25" customHeight="1">
      <c r="A20" s="88"/>
      <c r="B20" s="52">
        <v>16.0</v>
      </c>
      <c r="C20" s="78" t="s">
        <v>168</v>
      </c>
      <c r="D20" s="96" t="s">
        <v>169</v>
      </c>
      <c r="E20" s="65" t="s">
        <v>170</v>
      </c>
      <c r="F20" s="65" t="s">
        <v>173</v>
      </c>
      <c r="G20" s="66" t="s">
        <v>174</v>
      </c>
      <c r="H20" s="80" t="s">
        <v>175</v>
      </c>
      <c r="I20" s="77" t="s">
        <v>180</v>
      </c>
      <c r="J20" s="74" t="s">
        <v>30</v>
      </c>
    </row>
    <row r="21" ht="105.75" customHeight="1">
      <c r="A21" s="88"/>
      <c r="B21" s="30">
        <v>17.0</v>
      </c>
      <c r="C21" s="78" t="s">
        <v>168</v>
      </c>
      <c r="D21" s="96" t="s">
        <v>182</v>
      </c>
      <c r="E21" s="65" t="s">
        <v>183</v>
      </c>
      <c r="F21" s="65" t="s">
        <v>184</v>
      </c>
      <c r="G21" s="65" t="s">
        <v>185</v>
      </c>
      <c r="H21" s="58"/>
      <c r="I21" s="77" t="s">
        <v>187</v>
      </c>
      <c r="J21" s="60" t="s">
        <v>188</v>
      </c>
    </row>
    <row r="22" ht="97.5" customHeight="1">
      <c r="A22" s="88"/>
      <c r="B22" s="52">
        <v>18.0</v>
      </c>
      <c r="C22" s="78" t="s">
        <v>168</v>
      </c>
      <c r="D22" s="60" t="s">
        <v>190</v>
      </c>
      <c r="E22" s="65" t="s">
        <v>191</v>
      </c>
      <c r="F22" s="66" t="s">
        <v>192</v>
      </c>
      <c r="G22" s="65" t="s">
        <v>193</v>
      </c>
      <c r="H22" s="66"/>
      <c r="I22" s="77" t="s">
        <v>194</v>
      </c>
      <c r="J22" s="60" t="s">
        <v>195</v>
      </c>
    </row>
    <row r="23" ht="111.75" customHeight="1">
      <c r="A23" s="88"/>
      <c r="B23" s="30">
        <v>19.0</v>
      </c>
      <c r="C23" s="78" t="s">
        <v>168</v>
      </c>
      <c r="D23" s="96" t="s">
        <v>197</v>
      </c>
      <c r="E23" s="73" t="s">
        <v>200</v>
      </c>
      <c r="F23" s="65" t="s">
        <v>202</v>
      </c>
      <c r="G23" s="65" t="s">
        <v>204</v>
      </c>
      <c r="H23" s="66"/>
      <c r="I23" s="77" t="s">
        <v>205</v>
      </c>
      <c r="J23" s="74" t="s">
        <v>206</v>
      </c>
    </row>
    <row r="24" ht="75.75" customHeight="1">
      <c r="A24" s="88"/>
      <c r="B24" s="52">
        <v>20.0</v>
      </c>
      <c r="C24" s="78" t="s">
        <v>168</v>
      </c>
      <c r="D24" s="75" t="s">
        <v>207</v>
      </c>
      <c r="E24" s="65" t="s">
        <v>208</v>
      </c>
      <c r="F24" s="65" t="s">
        <v>184</v>
      </c>
      <c r="G24" s="65" t="s">
        <v>78</v>
      </c>
      <c r="H24" s="108" t="s">
        <v>209</v>
      </c>
      <c r="I24" s="77" t="s">
        <v>214</v>
      </c>
      <c r="J24" s="74" t="s">
        <v>126</v>
      </c>
    </row>
    <row r="25" ht="57.0" customHeight="1">
      <c r="A25" s="88"/>
      <c r="B25" s="30">
        <v>21.0</v>
      </c>
      <c r="C25" s="78" t="s">
        <v>216</v>
      </c>
      <c r="D25" s="96">
        <v>34.0</v>
      </c>
      <c r="E25" s="76" t="s">
        <v>217</v>
      </c>
      <c r="F25" s="65" t="s">
        <v>218</v>
      </c>
      <c r="G25" s="65" t="s">
        <v>131</v>
      </c>
      <c r="H25" s="58"/>
      <c r="I25" s="52" t="s">
        <v>219</v>
      </c>
      <c r="J25" s="60" t="s">
        <v>140</v>
      </c>
    </row>
    <row r="26" ht="69.75" customHeight="1">
      <c r="A26" s="109"/>
      <c r="B26" s="52">
        <v>22.0</v>
      </c>
      <c r="C26" s="110" t="s">
        <v>216</v>
      </c>
      <c r="D26" s="111">
        <v>35.0</v>
      </c>
      <c r="E26" s="112" t="s">
        <v>224</v>
      </c>
      <c r="F26" s="112" t="s">
        <v>225</v>
      </c>
      <c r="G26" s="113" t="s">
        <v>226</v>
      </c>
      <c r="H26" s="113"/>
      <c r="I26" s="114" t="s">
        <v>228</v>
      </c>
      <c r="J26" s="115" t="s">
        <v>229</v>
      </c>
    </row>
    <row r="27" ht="76.5" customHeight="1">
      <c r="A27" s="88"/>
      <c r="B27" s="30">
        <v>23.0</v>
      </c>
      <c r="C27" s="116" t="s">
        <v>216</v>
      </c>
      <c r="D27" s="117" t="s">
        <v>230</v>
      </c>
      <c r="E27" s="118" t="s">
        <v>231</v>
      </c>
      <c r="F27" s="118" t="s">
        <v>232</v>
      </c>
      <c r="G27" s="119" t="s">
        <v>233</v>
      </c>
      <c r="H27" s="119"/>
      <c r="I27" s="120" t="s">
        <v>234</v>
      </c>
      <c r="J27" s="121" t="s">
        <v>235</v>
      </c>
    </row>
    <row r="28" ht="108.75" customHeight="1">
      <c r="A28" s="88"/>
      <c r="B28" s="52">
        <v>24.0</v>
      </c>
      <c r="C28" s="116" t="s">
        <v>216</v>
      </c>
      <c r="D28" s="117" t="s">
        <v>236</v>
      </c>
      <c r="E28" s="122" t="s">
        <v>237</v>
      </c>
      <c r="F28" s="118" t="s">
        <v>238</v>
      </c>
      <c r="G28" s="118" t="s">
        <v>239</v>
      </c>
      <c r="H28" s="119"/>
      <c r="I28" s="123" t="s">
        <v>240</v>
      </c>
      <c r="J28" s="121" t="s">
        <v>206</v>
      </c>
    </row>
    <row r="29" ht="63.75" customHeight="1">
      <c r="A29" s="88"/>
      <c r="B29" s="30">
        <v>25.0</v>
      </c>
      <c r="C29" s="124" t="s">
        <v>216</v>
      </c>
      <c r="D29" s="125" t="s">
        <v>245</v>
      </c>
      <c r="E29" s="126" t="s">
        <v>246</v>
      </c>
      <c r="F29" s="127" t="s">
        <v>247</v>
      </c>
      <c r="G29" s="127" t="s">
        <v>78</v>
      </c>
      <c r="H29" s="128"/>
      <c r="I29" s="129" t="s">
        <v>249</v>
      </c>
      <c r="J29" s="130" t="s">
        <v>126</v>
      </c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ht="91.5" customHeight="1">
      <c r="A30" s="88"/>
      <c r="B30" s="52">
        <v>26.0</v>
      </c>
      <c r="C30" s="116" t="s">
        <v>251</v>
      </c>
      <c r="D30" s="117" t="s">
        <v>252</v>
      </c>
      <c r="E30" s="119" t="s">
        <v>254</v>
      </c>
      <c r="F30" s="132" t="s">
        <v>256</v>
      </c>
      <c r="G30" s="118" t="s">
        <v>258</v>
      </c>
      <c r="H30" s="133" t="s">
        <v>259</v>
      </c>
      <c r="I30" s="123" t="s">
        <v>261</v>
      </c>
      <c r="J30" s="121" t="s">
        <v>262</v>
      </c>
    </row>
    <row r="31" ht="15.75" customHeight="1">
      <c r="A31" s="88"/>
      <c r="B31" s="30">
        <v>27.0</v>
      </c>
      <c r="C31" s="134" t="s">
        <v>251</v>
      </c>
      <c r="D31" s="117" t="s">
        <v>264</v>
      </c>
      <c r="E31" s="118" t="s">
        <v>266</v>
      </c>
      <c r="F31" s="119" t="s">
        <v>268</v>
      </c>
      <c r="G31" s="118" t="s">
        <v>270</v>
      </c>
      <c r="H31" s="135"/>
      <c r="I31" s="123" t="s">
        <v>272</v>
      </c>
      <c r="J31" s="121" t="s">
        <v>274</v>
      </c>
    </row>
    <row r="32" ht="15.75" customHeight="1">
      <c r="A32" s="88"/>
      <c r="B32" s="52">
        <v>28.0</v>
      </c>
      <c r="C32" s="137" t="s">
        <v>251</v>
      </c>
      <c r="D32" s="138" t="s">
        <v>277</v>
      </c>
      <c r="E32" s="139" t="s">
        <v>278</v>
      </c>
      <c r="F32" s="140" t="s">
        <v>279</v>
      </c>
      <c r="G32" s="139" t="s">
        <v>280</v>
      </c>
      <c r="H32" s="141" t="s">
        <v>281</v>
      </c>
      <c r="I32" s="142" t="s">
        <v>286</v>
      </c>
      <c r="J32" s="143" t="s">
        <v>287</v>
      </c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  <row r="33" ht="96.0" customHeight="1">
      <c r="A33" s="88"/>
      <c r="B33" s="30">
        <v>29.0</v>
      </c>
      <c r="C33" s="134" t="s">
        <v>251</v>
      </c>
      <c r="D33" s="117" t="s">
        <v>291</v>
      </c>
      <c r="E33" s="122" t="s">
        <v>293</v>
      </c>
      <c r="F33" s="118" t="s">
        <v>295</v>
      </c>
      <c r="G33" s="118" t="s">
        <v>296</v>
      </c>
      <c r="H33" s="119"/>
      <c r="I33" s="123" t="s">
        <v>300</v>
      </c>
      <c r="J33" s="121" t="s">
        <v>188</v>
      </c>
    </row>
    <row r="34" ht="99.0" customHeight="1">
      <c r="A34" s="88"/>
      <c r="B34" s="52">
        <v>30.0</v>
      </c>
      <c r="C34" s="151" t="s">
        <v>251</v>
      </c>
      <c r="D34" s="125" t="s">
        <v>302</v>
      </c>
      <c r="E34" s="127" t="s">
        <v>303</v>
      </c>
      <c r="F34" s="127" t="s">
        <v>304</v>
      </c>
      <c r="G34" s="127" t="s">
        <v>78</v>
      </c>
      <c r="H34" s="128"/>
      <c r="I34" s="129" t="s">
        <v>306</v>
      </c>
      <c r="J34" s="130" t="s">
        <v>126</v>
      </c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</row>
    <row r="35" ht="15.75" customHeight="1">
      <c r="A35" s="88"/>
      <c r="B35" s="30">
        <v>31.0</v>
      </c>
      <c r="C35" s="134" t="s">
        <v>308</v>
      </c>
      <c r="D35" s="152" t="s">
        <v>136</v>
      </c>
      <c r="E35" s="119" t="s">
        <v>137</v>
      </c>
      <c r="F35" s="118" t="s">
        <v>309</v>
      </c>
      <c r="G35" s="118" t="s">
        <v>141</v>
      </c>
      <c r="H35" s="154"/>
      <c r="I35" s="155"/>
      <c r="J35" s="155" t="s">
        <v>312</v>
      </c>
    </row>
    <row r="36" ht="15.75" customHeight="1">
      <c r="A36" s="88"/>
      <c r="B36" s="52">
        <v>32.0</v>
      </c>
      <c r="C36" s="134" t="s">
        <v>308</v>
      </c>
      <c r="D36" s="117" t="s">
        <v>267</v>
      </c>
      <c r="E36" s="119" t="s">
        <v>269</v>
      </c>
      <c r="F36" s="118" t="s">
        <v>313</v>
      </c>
      <c r="G36" s="118" t="s">
        <v>273</v>
      </c>
      <c r="H36" s="154"/>
      <c r="I36" s="157"/>
      <c r="J36" s="155" t="s">
        <v>315</v>
      </c>
    </row>
    <row r="37" ht="152.25" customHeight="1">
      <c r="A37" s="88"/>
      <c r="B37" s="30">
        <v>33.0</v>
      </c>
      <c r="C37" s="134" t="s">
        <v>308</v>
      </c>
      <c r="D37" s="117" t="s">
        <v>317</v>
      </c>
      <c r="E37" s="161" t="s">
        <v>318</v>
      </c>
      <c r="F37" s="163" t="s">
        <v>319</v>
      </c>
      <c r="G37" s="163" t="s">
        <v>320</v>
      </c>
      <c r="H37" s="154"/>
      <c r="I37" s="157"/>
      <c r="J37" s="155" t="s">
        <v>321</v>
      </c>
    </row>
    <row r="38" ht="90.0" customHeight="1">
      <c r="A38" s="88"/>
      <c r="B38" s="52">
        <v>34.0</v>
      </c>
      <c r="C38" s="164" t="s">
        <v>323</v>
      </c>
      <c r="D38" s="165" t="s">
        <v>325</v>
      </c>
      <c r="E38" s="166" t="s">
        <v>328</v>
      </c>
      <c r="F38" s="167"/>
      <c r="G38" s="167"/>
      <c r="H38" s="167"/>
      <c r="I38" s="168" t="s">
        <v>331</v>
      </c>
      <c r="J38" s="9"/>
    </row>
    <row r="39" ht="75.75" customHeight="1">
      <c r="A39" s="88"/>
      <c r="B39" s="30">
        <v>35.0</v>
      </c>
      <c r="C39" s="164" t="s">
        <v>323</v>
      </c>
      <c r="D39" s="165" t="s">
        <v>325</v>
      </c>
      <c r="E39" s="166" t="s">
        <v>332</v>
      </c>
      <c r="F39" s="167"/>
      <c r="G39" s="167"/>
      <c r="H39" s="167"/>
      <c r="I39" s="168" t="s">
        <v>333</v>
      </c>
      <c r="J39" s="9"/>
    </row>
    <row r="40" ht="79.5" customHeight="1">
      <c r="A40" s="169"/>
      <c r="B40" s="52">
        <v>36.0</v>
      </c>
      <c r="C40" s="170" t="s">
        <v>334</v>
      </c>
      <c r="D40" s="171"/>
      <c r="E40" s="172" t="s">
        <v>335</v>
      </c>
      <c r="F40" s="173" t="s">
        <v>336</v>
      </c>
      <c r="G40" s="9"/>
      <c r="H40" s="174"/>
      <c r="I40" s="168" t="s">
        <v>337</v>
      </c>
      <c r="J40" s="9"/>
    </row>
    <row r="41" ht="72.0" customHeight="1">
      <c r="A41" s="175">
        <v>46115.0</v>
      </c>
      <c r="B41" s="30">
        <v>37.0</v>
      </c>
      <c r="C41" s="116" t="s">
        <v>338</v>
      </c>
      <c r="D41" s="176">
        <v>48.0</v>
      </c>
      <c r="E41" s="177" t="s">
        <v>339</v>
      </c>
      <c r="F41" s="178" t="s">
        <v>340</v>
      </c>
      <c r="G41" s="177" t="s">
        <v>341</v>
      </c>
      <c r="H41" s="180" t="s">
        <v>342</v>
      </c>
      <c r="I41" s="181" t="s">
        <v>343</v>
      </c>
      <c r="J41" s="182" t="s">
        <v>30</v>
      </c>
    </row>
    <row r="42" ht="72.0" customHeight="1">
      <c r="A42" s="183">
        <v>46119.0</v>
      </c>
      <c r="B42" s="52">
        <v>38.0</v>
      </c>
      <c r="C42" s="134" t="s">
        <v>338</v>
      </c>
      <c r="D42" s="117">
        <v>49.0</v>
      </c>
      <c r="E42" s="118" t="s">
        <v>348</v>
      </c>
      <c r="F42" s="118" t="s">
        <v>349</v>
      </c>
      <c r="G42" s="118" t="s">
        <v>350</v>
      </c>
      <c r="H42" s="119"/>
      <c r="I42" s="123" t="s">
        <v>351</v>
      </c>
      <c r="J42" s="121" t="s">
        <v>140</v>
      </c>
    </row>
    <row r="43" ht="75.75" customHeight="1">
      <c r="A43" s="109">
        <f>A42+3</f>
        <v>46122</v>
      </c>
      <c r="B43" s="30">
        <v>39.0</v>
      </c>
      <c r="C43" s="134" t="s">
        <v>338</v>
      </c>
      <c r="D43" s="117" t="s">
        <v>356</v>
      </c>
      <c r="E43" s="118" t="s">
        <v>357</v>
      </c>
      <c r="F43" s="118" t="s">
        <v>358</v>
      </c>
      <c r="G43" s="118" t="s">
        <v>359</v>
      </c>
      <c r="H43" s="119"/>
      <c r="I43" s="120" t="s">
        <v>360</v>
      </c>
      <c r="J43" s="121" t="s">
        <v>361</v>
      </c>
    </row>
    <row r="44" ht="111.0" customHeight="1">
      <c r="A44" s="109">
        <f>A43+4</f>
        <v>46126</v>
      </c>
      <c r="B44" s="52">
        <v>40.0</v>
      </c>
      <c r="C44" s="134" t="s">
        <v>338</v>
      </c>
      <c r="D44" s="117" t="s">
        <v>363</v>
      </c>
      <c r="E44" s="122" t="s">
        <v>364</v>
      </c>
      <c r="F44" s="119" t="s">
        <v>365</v>
      </c>
      <c r="G44" s="118" t="s">
        <v>368</v>
      </c>
      <c r="H44" s="119"/>
      <c r="I44" s="123" t="s">
        <v>369</v>
      </c>
      <c r="J44" s="121" t="s">
        <v>370</v>
      </c>
    </row>
    <row r="45" ht="63.0" customHeight="1">
      <c r="A45" s="109">
        <f>A44+3</f>
        <v>46129</v>
      </c>
      <c r="B45" s="30">
        <v>41.0</v>
      </c>
      <c r="C45" s="134" t="s">
        <v>338</v>
      </c>
      <c r="D45" s="125" t="s">
        <v>371</v>
      </c>
      <c r="E45" s="118" t="s">
        <v>373</v>
      </c>
      <c r="F45" s="118" t="s">
        <v>374</v>
      </c>
      <c r="G45" s="118" t="s">
        <v>78</v>
      </c>
      <c r="H45" s="119"/>
      <c r="I45" s="120" t="s">
        <v>375</v>
      </c>
      <c r="J45" s="188" t="s">
        <v>126</v>
      </c>
    </row>
    <row r="46" ht="66.0" customHeight="1">
      <c r="A46" s="109">
        <f>A45+4</f>
        <v>46133</v>
      </c>
      <c r="B46" s="52">
        <v>42.0</v>
      </c>
      <c r="C46" s="134" t="s">
        <v>377</v>
      </c>
      <c r="D46" s="117" t="s">
        <v>378</v>
      </c>
      <c r="E46" s="118" t="s">
        <v>379</v>
      </c>
      <c r="F46" s="118" t="s">
        <v>380</v>
      </c>
      <c r="G46" s="119" t="s">
        <v>381</v>
      </c>
      <c r="H46" s="133" t="s">
        <v>383</v>
      </c>
      <c r="I46" s="123" t="s">
        <v>386</v>
      </c>
      <c r="J46" s="121" t="s">
        <v>93</v>
      </c>
    </row>
    <row r="47" ht="79.5" customHeight="1">
      <c r="A47" s="109">
        <f>A46+3</f>
        <v>46136</v>
      </c>
      <c r="B47" s="30">
        <v>43.0</v>
      </c>
      <c r="C47" s="134" t="s">
        <v>377</v>
      </c>
      <c r="D47" s="117" t="s">
        <v>389</v>
      </c>
      <c r="E47" s="118" t="s">
        <v>390</v>
      </c>
      <c r="F47" s="118" t="s">
        <v>391</v>
      </c>
      <c r="G47" s="118" t="s">
        <v>392</v>
      </c>
      <c r="H47" s="135"/>
      <c r="I47" s="123" t="s">
        <v>393</v>
      </c>
      <c r="J47" s="121" t="s">
        <v>394</v>
      </c>
    </row>
    <row r="48" ht="126.0" customHeight="1">
      <c r="A48" s="109">
        <f>A47+4</f>
        <v>46140</v>
      </c>
      <c r="B48" s="52">
        <v>44.0</v>
      </c>
      <c r="C48" s="134" t="s">
        <v>377</v>
      </c>
      <c r="D48" s="117" t="s">
        <v>396</v>
      </c>
      <c r="E48" s="118" t="s">
        <v>397</v>
      </c>
      <c r="F48" s="118" t="s">
        <v>398</v>
      </c>
      <c r="G48" s="118" t="s">
        <v>399</v>
      </c>
      <c r="H48" s="119"/>
      <c r="I48" s="123" t="s">
        <v>401</v>
      </c>
      <c r="J48" s="121" t="s">
        <v>235</v>
      </c>
    </row>
    <row r="49" ht="132.0" customHeight="1">
      <c r="A49" s="183">
        <v>46147.0</v>
      </c>
      <c r="B49" s="30">
        <v>45.0</v>
      </c>
      <c r="C49" s="134" t="s">
        <v>377</v>
      </c>
      <c r="D49" s="117" t="s">
        <v>402</v>
      </c>
      <c r="E49" s="122" t="s">
        <v>403</v>
      </c>
      <c r="F49" s="118" t="s">
        <v>404</v>
      </c>
      <c r="G49" s="118" t="s">
        <v>405</v>
      </c>
      <c r="H49" s="119"/>
      <c r="I49" s="120" t="s">
        <v>406</v>
      </c>
      <c r="J49" s="121" t="s">
        <v>287</v>
      </c>
    </row>
    <row r="50" ht="90.0" customHeight="1">
      <c r="A50" s="109">
        <f>A49+3</f>
        <v>46150</v>
      </c>
      <c r="B50" s="52">
        <v>46.0</v>
      </c>
      <c r="C50" s="134" t="s">
        <v>377</v>
      </c>
      <c r="D50" s="75" t="s">
        <v>407</v>
      </c>
      <c r="E50" s="196" t="s">
        <v>408</v>
      </c>
      <c r="F50" s="118" t="s">
        <v>409</v>
      </c>
      <c r="G50" s="118" t="s">
        <v>78</v>
      </c>
      <c r="H50" s="119"/>
      <c r="I50" s="120" t="s">
        <v>410</v>
      </c>
      <c r="J50" s="188" t="s">
        <v>126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ht="70.5" customHeight="1">
      <c r="A51" s="109">
        <f>A50+4</f>
        <v>46154</v>
      </c>
      <c r="B51" s="30">
        <v>47.0</v>
      </c>
      <c r="C51" s="197" t="s">
        <v>411</v>
      </c>
      <c r="D51" s="117">
        <v>64.0</v>
      </c>
      <c r="E51" s="132" t="s">
        <v>412</v>
      </c>
      <c r="F51" s="118" t="s">
        <v>413</v>
      </c>
      <c r="G51" s="118" t="s">
        <v>414</v>
      </c>
      <c r="H51" s="119"/>
      <c r="I51" s="123" t="s">
        <v>415</v>
      </c>
      <c r="J51" s="121" t="s">
        <v>416</v>
      </c>
    </row>
    <row r="52" ht="75.75" customHeight="1">
      <c r="A52" s="109">
        <f>A51+3</f>
        <v>46157</v>
      </c>
      <c r="B52" s="52">
        <v>48.0</v>
      </c>
      <c r="C52" s="164" t="s">
        <v>411</v>
      </c>
      <c r="D52" s="117">
        <v>65.0</v>
      </c>
      <c r="E52" s="118" t="s">
        <v>417</v>
      </c>
      <c r="F52" s="118" t="s">
        <v>418</v>
      </c>
      <c r="G52" s="118" t="s">
        <v>419</v>
      </c>
      <c r="H52" s="119"/>
      <c r="I52" s="123" t="s">
        <v>420</v>
      </c>
      <c r="J52" s="121" t="s">
        <v>235</v>
      </c>
    </row>
    <row r="53" ht="106.5" customHeight="1">
      <c r="A53" s="109">
        <f>A52+4</f>
        <v>46161</v>
      </c>
      <c r="B53" s="30">
        <v>49.0</v>
      </c>
      <c r="C53" s="198" t="s">
        <v>411</v>
      </c>
      <c r="D53" s="199" t="s">
        <v>421</v>
      </c>
      <c r="E53" s="200" t="s">
        <v>422</v>
      </c>
      <c r="F53" s="200" t="s">
        <v>423</v>
      </c>
      <c r="G53" s="200" t="s">
        <v>424</v>
      </c>
      <c r="H53" s="201"/>
      <c r="I53" s="120" t="s">
        <v>425</v>
      </c>
      <c r="J53" s="202" t="s">
        <v>274</v>
      </c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</row>
    <row r="54" ht="112.5" customHeight="1">
      <c r="A54" s="109">
        <f>A53+3</f>
        <v>46164</v>
      </c>
      <c r="B54" s="52">
        <v>50.0</v>
      </c>
      <c r="C54" s="116" t="s">
        <v>411</v>
      </c>
      <c r="D54" s="199" t="s">
        <v>431</v>
      </c>
      <c r="E54" s="207" t="s">
        <v>432</v>
      </c>
      <c r="F54" s="119" t="s">
        <v>433</v>
      </c>
      <c r="G54" s="118" t="s">
        <v>434</v>
      </c>
      <c r="H54" s="119"/>
      <c r="I54" s="120" t="s">
        <v>435</v>
      </c>
      <c r="J54" s="121" t="s">
        <v>287</v>
      </c>
    </row>
    <row r="55" ht="15.75" customHeight="1">
      <c r="A55" s="109">
        <f>A54+4</f>
        <v>46168</v>
      </c>
      <c r="B55" s="30">
        <v>51.0</v>
      </c>
      <c r="C55" s="116" t="s">
        <v>411</v>
      </c>
      <c r="D55" s="125" t="s">
        <v>437</v>
      </c>
      <c r="E55" s="118" t="s">
        <v>438</v>
      </c>
      <c r="F55" s="118" t="s">
        <v>439</v>
      </c>
      <c r="G55" s="118" t="s">
        <v>78</v>
      </c>
      <c r="H55" s="119"/>
      <c r="I55" s="120" t="s">
        <v>440</v>
      </c>
      <c r="J55" s="188" t="s">
        <v>126</v>
      </c>
    </row>
    <row r="56" ht="72.0" customHeight="1">
      <c r="A56" s="109">
        <f>A55+3</f>
        <v>46171</v>
      </c>
      <c r="B56" s="52">
        <v>52.0</v>
      </c>
      <c r="C56" s="116" t="s">
        <v>441</v>
      </c>
      <c r="D56" s="117" t="s">
        <v>442</v>
      </c>
      <c r="E56" s="118" t="s">
        <v>443</v>
      </c>
      <c r="F56" s="118" t="s">
        <v>444</v>
      </c>
      <c r="G56" s="118" t="s">
        <v>445</v>
      </c>
      <c r="H56" s="119"/>
      <c r="I56" s="120" t="s">
        <v>446</v>
      </c>
      <c r="J56" s="121" t="s">
        <v>416</v>
      </c>
    </row>
    <row r="57" ht="87.0" customHeight="1">
      <c r="A57" s="109">
        <f>A56+4</f>
        <v>46175</v>
      </c>
      <c r="B57" s="30">
        <v>53.0</v>
      </c>
      <c r="C57" s="116" t="s">
        <v>441</v>
      </c>
      <c r="D57" s="117" t="s">
        <v>447</v>
      </c>
      <c r="E57" s="118" t="s">
        <v>448</v>
      </c>
      <c r="F57" s="118" t="s">
        <v>449</v>
      </c>
      <c r="G57" s="118" t="s">
        <v>450</v>
      </c>
      <c r="H57" s="119"/>
      <c r="I57" s="120" t="s">
        <v>451</v>
      </c>
      <c r="J57" s="121" t="s">
        <v>452</v>
      </c>
    </row>
    <row r="58" ht="93.75" customHeight="1">
      <c r="A58" s="109">
        <f>A57+3</f>
        <v>46178</v>
      </c>
      <c r="B58" s="52">
        <v>54.0</v>
      </c>
      <c r="C58" s="116" t="s">
        <v>441</v>
      </c>
      <c r="D58" s="117" t="s">
        <v>453</v>
      </c>
      <c r="E58" s="118" t="s">
        <v>454</v>
      </c>
      <c r="F58" s="119" t="s">
        <v>455</v>
      </c>
      <c r="G58" s="118" t="s">
        <v>456</v>
      </c>
      <c r="H58" s="119"/>
      <c r="I58" s="120" t="s">
        <v>457</v>
      </c>
      <c r="J58" s="121" t="s">
        <v>370</v>
      </c>
    </row>
    <row r="59" ht="153.75" customHeight="1">
      <c r="A59" s="109">
        <f>A58+4</f>
        <v>46182</v>
      </c>
      <c r="B59" s="30">
        <v>55.0</v>
      </c>
      <c r="C59" s="116" t="s">
        <v>441</v>
      </c>
      <c r="D59" s="117" t="s">
        <v>458</v>
      </c>
      <c r="E59" s="207" t="s">
        <v>459</v>
      </c>
      <c r="F59" s="119" t="s">
        <v>461</v>
      </c>
      <c r="G59" s="118" t="s">
        <v>463</v>
      </c>
      <c r="H59" s="119"/>
      <c r="I59" s="120" t="s">
        <v>464</v>
      </c>
      <c r="J59" s="121" t="s">
        <v>287</v>
      </c>
    </row>
    <row r="60" ht="72.0" customHeight="1">
      <c r="A60" s="109">
        <f>A59+3</f>
        <v>46185</v>
      </c>
      <c r="B60" s="52">
        <v>56.0</v>
      </c>
      <c r="C60" s="116" t="s">
        <v>441</v>
      </c>
      <c r="D60" s="125" t="s">
        <v>467</v>
      </c>
      <c r="E60" s="118" t="s">
        <v>468</v>
      </c>
      <c r="F60" s="118" t="s">
        <v>449</v>
      </c>
      <c r="G60" s="118" t="s">
        <v>78</v>
      </c>
      <c r="H60" s="119"/>
      <c r="I60" s="120" t="s">
        <v>469</v>
      </c>
      <c r="J60" s="188" t="s">
        <v>126</v>
      </c>
    </row>
    <row r="61" ht="45.75" customHeight="1">
      <c r="A61" s="109">
        <f>A60+4</f>
        <v>46189</v>
      </c>
      <c r="B61" s="30">
        <v>57.0</v>
      </c>
      <c r="C61" s="116" t="s">
        <v>473</v>
      </c>
      <c r="D61" s="117">
        <v>78.0</v>
      </c>
      <c r="E61" s="118" t="s">
        <v>475</v>
      </c>
      <c r="F61" s="118" t="s">
        <v>476</v>
      </c>
      <c r="G61" s="118" t="s">
        <v>131</v>
      </c>
      <c r="H61" s="119"/>
      <c r="I61" s="120" t="s">
        <v>477</v>
      </c>
      <c r="J61" s="121" t="s">
        <v>416</v>
      </c>
    </row>
    <row r="62" ht="66.0" customHeight="1">
      <c r="A62" s="109">
        <f>A61+3</f>
        <v>46192</v>
      </c>
      <c r="B62" s="52">
        <v>58.0</v>
      </c>
      <c r="C62" s="116" t="s">
        <v>473</v>
      </c>
      <c r="D62" s="117">
        <v>79.0</v>
      </c>
      <c r="E62" s="118" t="s">
        <v>479</v>
      </c>
      <c r="F62" s="118" t="s">
        <v>481</v>
      </c>
      <c r="G62" s="118" t="s">
        <v>483</v>
      </c>
      <c r="H62" s="119"/>
      <c r="I62" s="120" t="s">
        <v>485</v>
      </c>
      <c r="J62" s="121" t="s">
        <v>452</v>
      </c>
    </row>
    <row r="63" ht="63.0" customHeight="1">
      <c r="A63" s="109">
        <f>A62+4</f>
        <v>46196</v>
      </c>
      <c r="B63" s="30">
        <v>59.0</v>
      </c>
      <c r="C63" s="116" t="s">
        <v>473</v>
      </c>
      <c r="D63" s="117" t="s">
        <v>486</v>
      </c>
      <c r="E63" s="118" t="s">
        <v>487</v>
      </c>
      <c r="F63" s="213" t="s">
        <v>489</v>
      </c>
      <c r="G63" s="213" t="s">
        <v>424</v>
      </c>
      <c r="H63" s="214"/>
      <c r="I63" s="120" t="s">
        <v>491</v>
      </c>
      <c r="J63" s="121" t="s">
        <v>370</v>
      </c>
    </row>
    <row r="64" ht="93.0" customHeight="1">
      <c r="A64" s="109">
        <f>A63+3</f>
        <v>46199</v>
      </c>
      <c r="B64" s="52">
        <v>60.0</v>
      </c>
      <c r="C64" s="116" t="s">
        <v>473</v>
      </c>
      <c r="D64" s="117" t="s">
        <v>492</v>
      </c>
      <c r="E64" s="207" t="s">
        <v>493</v>
      </c>
      <c r="F64" s="119" t="s">
        <v>494</v>
      </c>
      <c r="G64" s="118" t="s">
        <v>495</v>
      </c>
      <c r="H64" s="119"/>
      <c r="I64" s="120" t="s">
        <v>496</v>
      </c>
      <c r="J64" s="121" t="s">
        <v>287</v>
      </c>
    </row>
    <row r="65" ht="72.75" customHeight="1">
      <c r="A65" s="109">
        <f>A64+4</f>
        <v>46203</v>
      </c>
      <c r="B65" s="30">
        <v>61.0</v>
      </c>
      <c r="C65" s="116" t="s">
        <v>473</v>
      </c>
      <c r="D65" s="125" t="s">
        <v>497</v>
      </c>
      <c r="E65" s="118" t="s">
        <v>499</v>
      </c>
      <c r="F65" s="213" t="s">
        <v>489</v>
      </c>
      <c r="G65" s="118" t="s">
        <v>78</v>
      </c>
      <c r="H65" s="119"/>
      <c r="I65" s="120" t="s">
        <v>501</v>
      </c>
      <c r="J65" s="188" t="s">
        <v>126</v>
      </c>
    </row>
    <row r="66" ht="76.5" customHeight="1">
      <c r="A66" s="109">
        <f>A65+3</f>
        <v>46206</v>
      </c>
      <c r="B66" s="52">
        <v>62.0</v>
      </c>
      <c r="C66" s="116" t="s">
        <v>502</v>
      </c>
      <c r="D66" s="117" t="s">
        <v>503</v>
      </c>
      <c r="E66" s="118" t="s">
        <v>504</v>
      </c>
      <c r="F66" s="118" t="s">
        <v>505</v>
      </c>
      <c r="G66" s="118" t="s">
        <v>506</v>
      </c>
      <c r="H66" s="119"/>
      <c r="I66" s="120" t="s">
        <v>508</v>
      </c>
      <c r="J66" s="121" t="s">
        <v>416</v>
      </c>
    </row>
    <row r="67" ht="105.0" customHeight="1">
      <c r="A67" s="109">
        <f>A66+4</f>
        <v>46210</v>
      </c>
      <c r="B67" s="30">
        <v>63.0</v>
      </c>
      <c r="C67" s="116" t="s">
        <v>502</v>
      </c>
      <c r="D67" s="117" t="s">
        <v>510</v>
      </c>
      <c r="E67" s="118" t="s">
        <v>511</v>
      </c>
      <c r="F67" s="118" t="s">
        <v>512</v>
      </c>
      <c r="G67" s="118" t="s">
        <v>513</v>
      </c>
      <c r="H67" s="119"/>
      <c r="I67" s="120" t="s">
        <v>514</v>
      </c>
      <c r="J67" s="121" t="s">
        <v>452</v>
      </c>
    </row>
    <row r="68" ht="96.75" customHeight="1">
      <c r="A68" s="109">
        <f>A67+3</f>
        <v>46213</v>
      </c>
      <c r="B68" s="52">
        <v>64.0</v>
      </c>
      <c r="C68" s="116" t="s">
        <v>502</v>
      </c>
      <c r="D68" s="117" t="s">
        <v>516</v>
      </c>
      <c r="E68" s="118" t="s">
        <v>518</v>
      </c>
      <c r="F68" s="119" t="s">
        <v>519</v>
      </c>
      <c r="G68" s="118" t="s">
        <v>521</v>
      </c>
      <c r="H68" s="119"/>
      <c r="I68" s="120" t="s">
        <v>524</v>
      </c>
      <c r="J68" s="121" t="s">
        <v>370</v>
      </c>
    </row>
    <row r="69" ht="112.5" customHeight="1">
      <c r="A69" s="109">
        <f>A68+4</f>
        <v>46217</v>
      </c>
      <c r="B69" s="30">
        <v>65.0</v>
      </c>
      <c r="C69" s="217" t="s">
        <v>502</v>
      </c>
      <c r="D69" s="117" t="s">
        <v>525</v>
      </c>
      <c r="E69" s="218" t="s">
        <v>527</v>
      </c>
      <c r="F69" s="219"/>
      <c r="G69" s="220" t="s">
        <v>532</v>
      </c>
      <c r="H69" s="161"/>
      <c r="I69" s="120" t="s">
        <v>534</v>
      </c>
      <c r="J69" s="221" t="s">
        <v>287</v>
      </c>
    </row>
    <row r="70" ht="90.0" customHeight="1">
      <c r="A70" s="50">
        <v>46220.0</v>
      </c>
      <c r="B70" s="52">
        <v>66.0</v>
      </c>
      <c r="C70" s="78" t="s">
        <v>502</v>
      </c>
      <c r="D70" s="125" t="s">
        <v>538</v>
      </c>
      <c r="E70" s="65" t="s">
        <v>539</v>
      </c>
      <c r="F70" s="65" t="s">
        <v>512</v>
      </c>
      <c r="G70" s="65" t="s">
        <v>78</v>
      </c>
      <c r="H70" s="66"/>
      <c r="I70" s="77" t="s">
        <v>540</v>
      </c>
      <c r="J70" s="74" t="s">
        <v>126</v>
      </c>
    </row>
    <row r="71" ht="75.0" customHeight="1">
      <c r="A71" s="222">
        <v>46224.0</v>
      </c>
      <c r="B71" s="30">
        <v>67.0</v>
      </c>
      <c r="C71" s="78" t="s">
        <v>308</v>
      </c>
      <c r="D71" s="96" t="s">
        <v>317</v>
      </c>
      <c r="E71" s="223" t="s">
        <v>543</v>
      </c>
      <c r="F71" s="66"/>
      <c r="G71" s="65" t="s">
        <v>544</v>
      </c>
      <c r="H71" s="154"/>
      <c r="I71" s="155"/>
      <c r="J71" s="155" t="s">
        <v>545</v>
      </c>
    </row>
    <row r="72" ht="49.5" customHeight="1">
      <c r="A72" s="224">
        <v>46227.0</v>
      </c>
      <c r="B72" s="52">
        <v>68.0</v>
      </c>
      <c r="C72" s="78" t="s">
        <v>308</v>
      </c>
      <c r="D72" s="96" t="s">
        <v>546</v>
      </c>
      <c r="E72" s="66" t="s">
        <v>548</v>
      </c>
      <c r="F72" s="66"/>
      <c r="G72" s="65" t="s">
        <v>550</v>
      </c>
      <c r="H72" s="154"/>
      <c r="I72" s="155"/>
      <c r="J72" s="155" t="s">
        <v>551</v>
      </c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</row>
    <row r="73" ht="61.5" customHeight="1">
      <c r="A73" s="227">
        <v>46231.0</v>
      </c>
      <c r="B73" s="30">
        <v>69.0</v>
      </c>
      <c r="C73" s="229" t="s">
        <v>308</v>
      </c>
      <c r="D73" s="230" t="s">
        <v>554</v>
      </c>
      <c r="E73" s="231" t="s">
        <v>555</v>
      </c>
      <c r="F73" s="231"/>
      <c r="G73" s="232" t="s">
        <v>556</v>
      </c>
      <c r="H73" s="154"/>
      <c r="I73" s="155"/>
      <c r="J73" s="155" t="s">
        <v>557</v>
      </c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</row>
    <row r="74" ht="90.75" customHeight="1">
      <c r="A74" s="234">
        <v>46234.0</v>
      </c>
      <c r="B74" s="52">
        <v>70.0</v>
      </c>
      <c r="C74" s="164" t="s">
        <v>560</v>
      </c>
      <c r="D74" s="165" t="s">
        <v>325</v>
      </c>
      <c r="E74" s="166" t="s">
        <v>562</v>
      </c>
      <c r="F74" s="167"/>
      <c r="G74" s="235" t="s">
        <v>563</v>
      </c>
      <c r="H74" s="237"/>
      <c r="I74" s="237"/>
      <c r="J74" s="167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</row>
    <row r="75" ht="67.5" customHeight="1">
      <c r="A75" s="238"/>
      <c r="B75" s="30">
        <v>71.0</v>
      </c>
      <c r="C75" s="164" t="s">
        <v>560</v>
      </c>
      <c r="D75" s="165" t="s">
        <v>325</v>
      </c>
      <c r="E75" s="239" t="s">
        <v>565</v>
      </c>
      <c r="F75" s="167"/>
      <c r="G75" s="19"/>
      <c r="H75" s="237"/>
      <c r="I75" s="237"/>
      <c r="J75" s="167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</row>
    <row r="76" ht="74.25" customHeight="1">
      <c r="A76" s="240"/>
      <c r="B76" s="52">
        <v>72.0</v>
      </c>
      <c r="C76" s="164" t="s">
        <v>575</v>
      </c>
      <c r="D76" s="244"/>
      <c r="E76" s="246" t="s">
        <v>576</v>
      </c>
      <c r="F76" s="9"/>
      <c r="G76" s="247" t="s">
        <v>580</v>
      </c>
      <c r="H76" s="247"/>
      <c r="I76" s="167"/>
      <c r="J76" s="167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</row>
    <row r="77" ht="33.0" customHeight="1">
      <c r="A77" s="87"/>
    </row>
    <row r="78" ht="14.25" customHeight="1">
      <c r="A78" s="87"/>
    </row>
    <row r="79" ht="17.25" customHeight="1">
      <c r="A79" s="87"/>
    </row>
    <row r="80" ht="21.75" customHeight="1">
      <c r="A80" s="87"/>
    </row>
    <row r="81" ht="14.25" customHeight="1">
      <c r="A81" s="87"/>
    </row>
    <row r="82" ht="14.25" customHeight="1">
      <c r="A82" s="87"/>
    </row>
    <row r="83" ht="14.25" customHeight="1">
      <c r="A83" s="87"/>
    </row>
    <row r="84" ht="14.25" customHeight="1">
      <c r="A84" s="87"/>
    </row>
    <row r="85" ht="14.25" customHeight="1">
      <c r="A85" s="87"/>
    </row>
    <row r="86" ht="14.25" customHeight="1">
      <c r="A86" s="87"/>
    </row>
    <row r="87" ht="14.25" customHeight="1">
      <c r="A87" s="87"/>
    </row>
    <row r="88" ht="14.25" customHeight="1">
      <c r="A88" s="87"/>
    </row>
    <row r="89" ht="14.25" customHeight="1">
      <c r="A89" s="87"/>
    </row>
    <row r="90" ht="14.25" customHeight="1">
      <c r="A90" s="87"/>
    </row>
    <row r="91" ht="14.25" customHeight="1">
      <c r="A91" s="250"/>
      <c r="B91" s="251"/>
      <c r="C91" s="251"/>
      <c r="D91" s="251"/>
      <c r="J91" s="251"/>
    </row>
    <row r="92" ht="14.25" customHeight="1">
      <c r="A92" s="250"/>
      <c r="B92" s="251"/>
      <c r="C92" s="251"/>
      <c r="D92" s="251"/>
      <c r="J92" s="251"/>
    </row>
    <row r="93" ht="14.25" customHeight="1">
      <c r="A93" s="250"/>
      <c r="B93" s="251"/>
      <c r="C93" s="251"/>
      <c r="D93" s="251"/>
      <c r="J93" s="251"/>
    </row>
    <row r="94" ht="14.25" customHeight="1">
      <c r="A94" s="250"/>
      <c r="B94" s="251"/>
      <c r="C94" s="251"/>
      <c r="D94" s="251"/>
      <c r="J94" s="251"/>
    </row>
    <row r="95" ht="14.25" customHeight="1">
      <c r="A95" s="250"/>
      <c r="B95" s="251"/>
      <c r="C95" s="251"/>
      <c r="D95" s="251"/>
      <c r="J95" s="251"/>
    </row>
    <row r="96" ht="14.25" customHeight="1">
      <c r="A96" s="250"/>
      <c r="B96" s="251"/>
      <c r="C96" s="251"/>
      <c r="D96" s="251"/>
      <c r="J96" s="251"/>
    </row>
    <row r="97" ht="14.25" customHeight="1">
      <c r="A97" s="250"/>
      <c r="B97" s="251"/>
      <c r="C97" s="251"/>
      <c r="D97" s="251"/>
      <c r="J97" s="251"/>
    </row>
    <row r="98" ht="14.25" customHeight="1">
      <c r="A98" s="250"/>
      <c r="B98" s="251"/>
      <c r="C98" s="251"/>
      <c r="D98" s="251"/>
      <c r="J98" s="251"/>
    </row>
    <row r="99" ht="14.25" customHeight="1">
      <c r="A99" s="250"/>
      <c r="B99" s="251"/>
      <c r="C99" s="251"/>
      <c r="D99" s="251"/>
      <c r="J99" s="251"/>
    </row>
    <row r="100" ht="14.25" customHeight="1">
      <c r="A100" s="250"/>
      <c r="B100" s="251"/>
      <c r="C100" s="251"/>
      <c r="D100" s="251"/>
      <c r="J100" s="251"/>
    </row>
    <row r="101" ht="14.25" customHeight="1">
      <c r="A101" s="250"/>
      <c r="B101" s="251"/>
      <c r="C101" s="251"/>
      <c r="D101" s="251"/>
      <c r="J101" s="251"/>
    </row>
    <row r="102" ht="14.25" customHeight="1">
      <c r="A102" s="250"/>
      <c r="B102" s="251"/>
      <c r="C102" s="251"/>
      <c r="D102" s="251"/>
      <c r="J102" s="251"/>
    </row>
    <row r="103" ht="14.25" customHeight="1">
      <c r="A103" s="250"/>
      <c r="B103" s="251"/>
      <c r="C103" s="251"/>
      <c r="D103" s="251"/>
      <c r="J103" s="251"/>
    </row>
    <row r="104" ht="14.25" customHeight="1">
      <c r="A104" s="250"/>
      <c r="B104" s="251"/>
      <c r="C104" s="251"/>
      <c r="D104" s="251"/>
      <c r="J104" s="251"/>
    </row>
    <row r="105" ht="14.25" customHeight="1">
      <c r="A105" s="250"/>
      <c r="B105" s="251"/>
      <c r="C105" s="251"/>
      <c r="D105" s="251"/>
      <c r="J105" s="251"/>
    </row>
    <row r="106" ht="14.25" customHeight="1">
      <c r="A106" s="250"/>
      <c r="B106" s="251"/>
      <c r="C106" s="251"/>
      <c r="D106" s="251"/>
      <c r="J106" s="251"/>
    </row>
    <row r="107" ht="14.25" customHeight="1">
      <c r="A107" s="250"/>
      <c r="B107" s="251"/>
      <c r="C107" s="251"/>
      <c r="D107" s="251"/>
      <c r="J107" s="251"/>
    </row>
    <row r="108" ht="14.25" customHeight="1">
      <c r="A108" s="250"/>
      <c r="B108" s="251"/>
      <c r="C108" s="251"/>
      <c r="D108" s="251"/>
      <c r="J108" s="251"/>
    </row>
    <row r="109" ht="14.25" customHeight="1">
      <c r="A109" s="250"/>
      <c r="B109" s="251"/>
      <c r="C109" s="251"/>
      <c r="D109" s="251"/>
      <c r="J109" s="251"/>
    </row>
    <row r="110" ht="14.25" customHeight="1">
      <c r="A110" s="250"/>
      <c r="B110" s="251"/>
      <c r="C110" s="251"/>
      <c r="D110" s="251"/>
      <c r="J110" s="251"/>
    </row>
    <row r="111" ht="14.25" customHeight="1">
      <c r="A111" s="250"/>
      <c r="B111" s="251"/>
      <c r="C111" s="251"/>
      <c r="D111" s="251"/>
      <c r="J111" s="251"/>
    </row>
    <row r="112" ht="14.25" customHeight="1">
      <c r="A112" s="250"/>
      <c r="B112" s="251"/>
      <c r="C112" s="251"/>
      <c r="D112" s="251"/>
      <c r="J112" s="251"/>
    </row>
    <row r="113" ht="14.25" customHeight="1">
      <c r="A113" s="250"/>
      <c r="B113" s="251"/>
      <c r="C113" s="251"/>
      <c r="D113" s="251"/>
      <c r="J113" s="251"/>
    </row>
    <row r="114" ht="14.25" customHeight="1">
      <c r="A114" s="250"/>
      <c r="B114" s="251"/>
      <c r="C114" s="251"/>
      <c r="D114" s="251"/>
      <c r="J114" s="251"/>
    </row>
    <row r="115" ht="14.25" customHeight="1">
      <c r="A115" s="250"/>
      <c r="B115" s="251"/>
      <c r="C115" s="251"/>
      <c r="D115" s="251"/>
      <c r="J115" s="251"/>
    </row>
    <row r="116" ht="14.25" customHeight="1">
      <c r="A116" s="250"/>
      <c r="B116" s="251"/>
      <c r="C116" s="251"/>
      <c r="D116" s="251"/>
      <c r="J116" s="251"/>
    </row>
    <row r="117" ht="14.25" customHeight="1">
      <c r="A117" s="250"/>
      <c r="B117" s="251"/>
      <c r="C117" s="251"/>
      <c r="D117" s="251"/>
      <c r="J117" s="251"/>
    </row>
    <row r="118" ht="14.25" customHeight="1">
      <c r="A118" s="250"/>
      <c r="B118" s="251"/>
      <c r="C118" s="251"/>
      <c r="D118" s="251"/>
      <c r="J118" s="251"/>
    </row>
    <row r="119" ht="14.25" customHeight="1">
      <c r="A119" s="250"/>
      <c r="B119" s="251"/>
      <c r="C119" s="251"/>
      <c r="D119" s="251"/>
      <c r="J119" s="251"/>
    </row>
    <row r="120" ht="14.25" customHeight="1">
      <c r="A120" s="250"/>
      <c r="B120" s="251"/>
      <c r="C120" s="251"/>
      <c r="D120" s="251"/>
      <c r="J120" s="251"/>
    </row>
    <row r="121" ht="14.25" customHeight="1">
      <c r="A121" s="250"/>
      <c r="B121" s="251"/>
      <c r="C121" s="251"/>
      <c r="D121" s="251"/>
      <c r="J121" s="251"/>
    </row>
    <row r="122" ht="14.25" customHeight="1">
      <c r="A122" s="250"/>
      <c r="B122" s="251"/>
      <c r="C122" s="251"/>
      <c r="D122" s="251"/>
      <c r="J122" s="251"/>
    </row>
    <row r="123" ht="14.25" customHeight="1">
      <c r="A123" s="250"/>
      <c r="B123" s="251"/>
      <c r="C123" s="251"/>
      <c r="D123" s="251"/>
      <c r="J123" s="251"/>
    </row>
    <row r="124" ht="14.25" customHeight="1">
      <c r="A124" s="250"/>
      <c r="B124" s="251"/>
      <c r="C124" s="251"/>
      <c r="D124" s="251"/>
      <c r="J124" s="251"/>
    </row>
    <row r="125" ht="14.25" customHeight="1">
      <c r="A125" s="250"/>
      <c r="B125" s="251"/>
      <c r="C125" s="251"/>
      <c r="D125" s="251"/>
      <c r="J125" s="251"/>
    </row>
    <row r="126" ht="14.25" customHeight="1">
      <c r="A126" s="250"/>
      <c r="B126" s="251"/>
      <c r="C126" s="251"/>
      <c r="D126" s="251"/>
      <c r="J126" s="251"/>
    </row>
    <row r="127" ht="14.25" customHeight="1">
      <c r="A127" s="250"/>
      <c r="B127" s="251"/>
      <c r="C127" s="251"/>
      <c r="D127" s="251"/>
      <c r="J127" s="251"/>
    </row>
    <row r="128" ht="14.25" customHeight="1">
      <c r="A128" s="250"/>
      <c r="B128" s="251"/>
      <c r="C128" s="251"/>
      <c r="D128" s="251"/>
      <c r="J128" s="251"/>
    </row>
    <row r="129" ht="14.25" customHeight="1">
      <c r="A129" s="250"/>
      <c r="B129" s="251"/>
      <c r="C129" s="251"/>
      <c r="D129" s="251"/>
      <c r="J129" s="251"/>
    </row>
    <row r="130" ht="14.25" customHeight="1">
      <c r="A130" s="250"/>
      <c r="B130" s="251"/>
      <c r="C130" s="251"/>
      <c r="D130" s="251"/>
      <c r="J130" s="251"/>
    </row>
    <row r="131" ht="14.25" customHeight="1">
      <c r="A131" s="250"/>
      <c r="B131" s="251"/>
      <c r="C131" s="251"/>
      <c r="D131" s="251"/>
      <c r="J131" s="251"/>
    </row>
    <row r="132" ht="14.25" customHeight="1">
      <c r="A132" s="250"/>
      <c r="B132" s="251"/>
      <c r="C132" s="251"/>
      <c r="D132" s="251"/>
      <c r="J132" s="251"/>
    </row>
    <row r="133" ht="14.25" customHeight="1">
      <c r="A133" s="250"/>
      <c r="B133" s="251"/>
      <c r="C133" s="251"/>
      <c r="D133" s="251"/>
      <c r="J133" s="251"/>
    </row>
    <row r="134" ht="14.25" customHeight="1">
      <c r="A134" s="250"/>
      <c r="B134" s="251"/>
      <c r="C134" s="251"/>
      <c r="D134" s="251"/>
      <c r="J134" s="251"/>
    </row>
    <row r="135" ht="14.25" customHeight="1">
      <c r="A135" s="250"/>
      <c r="B135" s="251"/>
      <c r="C135" s="251"/>
      <c r="D135" s="251"/>
      <c r="J135" s="251"/>
    </row>
    <row r="136" ht="14.25" customHeight="1">
      <c r="A136" s="250"/>
      <c r="B136" s="251"/>
      <c r="C136" s="251"/>
      <c r="D136" s="251"/>
      <c r="J136" s="251"/>
    </row>
    <row r="137" ht="14.25" customHeight="1">
      <c r="A137" s="250"/>
      <c r="B137" s="251"/>
      <c r="C137" s="251"/>
      <c r="D137" s="251"/>
      <c r="J137" s="251"/>
    </row>
    <row r="138" ht="14.25" customHeight="1">
      <c r="A138" s="250"/>
      <c r="B138" s="251"/>
      <c r="C138" s="251"/>
      <c r="D138" s="251"/>
      <c r="J138" s="251"/>
    </row>
    <row r="139" ht="14.25" customHeight="1">
      <c r="A139" s="250"/>
      <c r="B139" s="251"/>
      <c r="C139" s="251"/>
      <c r="D139" s="251"/>
      <c r="J139" s="251"/>
    </row>
    <row r="140" ht="14.25" customHeight="1">
      <c r="A140" s="250"/>
      <c r="B140" s="251"/>
      <c r="C140" s="251"/>
      <c r="D140" s="251"/>
      <c r="J140" s="251"/>
    </row>
    <row r="141" ht="14.25" customHeight="1">
      <c r="A141" s="250"/>
      <c r="B141" s="251"/>
      <c r="C141" s="251"/>
      <c r="D141" s="251"/>
      <c r="J141" s="251"/>
    </row>
    <row r="142" ht="14.25" customHeight="1">
      <c r="A142" s="250"/>
      <c r="B142" s="251"/>
      <c r="C142" s="251"/>
      <c r="D142" s="251"/>
      <c r="J142" s="251"/>
    </row>
    <row r="143" ht="14.25" customHeight="1">
      <c r="A143" s="250"/>
      <c r="B143" s="251"/>
      <c r="C143" s="251"/>
      <c r="D143" s="251"/>
      <c r="J143" s="251"/>
    </row>
    <row r="144" ht="14.25" customHeight="1">
      <c r="A144" s="250"/>
      <c r="B144" s="251"/>
      <c r="C144" s="251"/>
      <c r="D144" s="251"/>
      <c r="J144" s="251"/>
    </row>
    <row r="145" ht="14.25" customHeight="1">
      <c r="A145" s="250"/>
      <c r="B145" s="251"/>
      <c r="C145" s="251"/>
      <c r="D145" s="251"/>
      <c r="J145" s="251"/>
    </row>
    <row r="146" ht="14.25" customHeight="1">
      <c r="A146" s="250"/>
      <c r="B146" s="251"/>
      <c r="C146" s="251"/>
      <c r="D146" s="251"/>
      <c r="J146" s="251"/>
    </row>
    <row r="147" ht="14.25" customHeight="1">
      <c r="A147" s="250"/>
      <c r="B147" s="251"/>
      <c r="C147" s="251"/>
      <c r="D147" s="251"/>
      <c r="J147" s="251"/>
    </row>
    <row r="148" ht="14.25" customHeight="1">
      <c r="A148" s="250"/>
      <c r="B148" s="251"/>
      <c r="C148" s="251"/>
      <c r="D148" s="251"/>
      <c r="J148" s="251"/>
    </row>
    <row r="149" ht="14.25" customHeight="1">
      <c r="A149" s="250"/>
      <c r="B149" s="251"/>
      <c r="C149" s="251"/>
      <c r="D149" s="251"/>
      <c r="J149" s="251"/>
    </row>
    <row r="150" ht="14.25" customHeight="1">
      <c r="A150" s="250"/>
      <c r="B150" s="251"/>
      <c r="C150" s="251"/>
      <c r="D150" s="251"/>
      <c r="J150" s="251"/>
    </row>
    <row r="151" ht="14.25" customHeight="1">
      <c r="A151" s="250"/>
      <c r="B151" s="251"/>
      <c r="C151" s="251"/>
      <c r="D151" s="251"/>
      <c r="J151" s="251"/>
    </row>
    <row r="152" ht="14.25" customHeight="1">
      <c r="A152" s="250"/>
      <c r="B152" s="251"/>
      <c r="C152" s="251"/>
      <c r="D152" s="251"/>
      <c r="J152" s="251"/>
    </row>
    <row r="153" ht="14.25" customHeight="1">
      <c r="A153" s="250"/>
      <c r="B153" s="251"/>
      <c r="C153" s="251"/>
      <c r="D153" s="251"/>
      <c r="J153" s="251"/>
    </row>
    <row r="154" ht="14.25" customHeight="1">
      <c r="A154" s="250"/>
      <c r="B154" s="251"/>
      <c r="C154" s="251"/>
      <c r="D154" s="251"/>
      <c r="J154" s="251"/>
    </row>
    <row r="155" ht="14.25" customHeight="1">
      <c r="A155" s="250"/>
      <c r="B155" s="251"/>
      <c r="C155" s="251"/>
      <c r="D155" s="251"/>
      <c r="J155" s="251"/>
    </row>
    <row r="156" ht="14.25" customHeight="1">
      <c r="A156" s="250"/>
      <c r="B156" s="251"/>
      <c r="C156" s="251"/>
      <c r="D156" s="251"/>
      <c r="J156" s="251"/>
    </row>
    <row r="157" ht="14.25" customHeight="1">
      <c r="A157" s="250"/>
      <c r="B157" s="251"/>
      <c r="C157" s="251"/>
      <c r="D157" s="251"/>
      <c r="J157" s="251"/>
    </row>
    <row r="158" ht="14.25" customHeight="1">
      <c r="A158" s="250"/>
      <c r="B158" s="251"/>
      <c r="C158" s="251"/>
      <c r="D158" s="251"/>
      <c r="J158" s="251"/>
    </row>
    <row r="159" ht="14.25" customHeight="1">
      <c r="A159" s="250"/>
      <c r="B159" s="251"/>
      <c r="C159" s="251"/>
      <c r="D159" s="251"/>
      <c r="J159" s="251"/>
    </row>
    <row r="160" ht="14.25" customHeight="1">
      <c r="A160" s="250"/>
      <c r="B160" s="251"/>
      <c r="C160" s="251"/>
      <c r="D160" s="251"/>
      <c r="J160" s="251"/>
    </row>
    <row r="161" ht="14.25" customHeight="1">
      <c r="A161" s="250"/>
      <c r="B161" s="251"/>
      <c r="C161" s="251"/>
      <c r="D161" s="251"/>
      <c r="J161" s="251"/>
    </row>
    <row r="162" ht="14.25" customHeight="1">
      <c r="A162" s="250"/>
      <c r="B162" s="251"/>
      <c r="C162" s="251"/>
      <c r="D162" s="251"/>
      <c r="J162" s="251"/>
    </row>
    <row r="163" ht="14.25" customHeight="1">
      <c r="A163" s="250"/>
      <c r="B163" s="251"/>
      <c r="C163" s="251"/>
      <c r="D163" s="251"/>
      <c r="J163" s="251"/>
    </row>
    <row r="164" ht="14.25" customHeight="1">
      <c r="A164" s="250"/>
      <c r="B164" s="251"/>
      <c r="C164" s="251"/>
      <c r="D164" s="251"/>
      <c r="J164" s="251"/>
    </row>
    <row r="165" ht="14.25" customHeight="1">
      <c r="A165" s="250"/>
      <c r="B165" s="251"/>
      <c r="C165" s="251"/>
      <c r="D165" s="251"/>
      <c r="J165" s="251"/>
    </row>
    <row r="166" ht="14.25" customHeight="1">
      <c r="A166" s="250"/>
      <c r="B166" s="251"/>
      <c r="C166" s="251"/>
      <c r="D166" s="251"/>
      <c r="J166" s="251"/>
    </row>
    <row r="167" ht="14.25" customHeight="1">
      <c r="A167" s="250"/>
      <c r="B167" s="251"/>
      <c r="C167" s="251"/>
      <c r="D167" s="251"/>
      <c r="J167" s="251"/>
    </row>
    <row r="168" ht="14.25" customHeight="1">
      <c r="A168" s="250"/>
      <c r="B168" s="251"/>
      <c r="C168" s="251"/>
      <c r="D168" s="251"/>
      <c r="J168" s="251"/>
    </row>
    <row r="169" ht="14.25" customHeight="1">
      <c r="A169" s="250"/>
      <c r="B169" s="251"/>
      <c r="C169" s="251"/>
      <c r="D169" s="251"/>
      <c r="J169" s="251"/>
    </row>
    <row r="170" ht="14.25" customHeight="1">
      <c r="A170" s="250"/>
      <c r="B170" s="251"/>
      <c r="C170" s="251"/>
      <c r="D170" s="251"/>
      <c r="J170" s="251"/>
    </row>
    <row r="171" ht="14.25" customHeight="1">
      <c r="A171" s="250"/>
      <c r="B171" s="251"/>
      <c r="C171" s="251"/>
      <c r="D171" s="251"/>
      <c r="J171" s="251"/>
    </row>
    <row r="172" ht="14.25" customHeight="1">
      <c r="A172" s="250"/>
      <c r="B172" s="251"/>
      <c r="C172" s="251"/>
      <c r="D172" s="251"/>
      <c r="J172" s="251"/>
    </row>
    <row r="173" ht="14.25" customHeight="1">
      <c r="A173" s="250"/>
      <c r="B173" s="251"/>
      <c r="C173" s="251"/>
      <c r="D173" s="251"/>
      <c r="J173" s="251"/>
    </row>
    <row r="174" ht="14.25" customHeight="1">
      <c r="A174" s="250"/>
      <c r="B174" s="251"/>
      <c r="C174" s="251"/>
      <c r="D174" s="251"/>
      <c r="J174" s="251"/>
    </row>
    <row r="175" ht="14.25" customHeight="1">
      <c r="A175" s="250"/>
      <c r="B175" s="251"/>
      <c r="C175" s="251"/>
      <c r="D175" s="251"/>
      <c r="J175" s="251"/>
    </row>
    <row r="176" ht="14.25" customHeight="1">
      <c r="A176" s="250"/>
      <c r="B176" s="251"/>
      <c r="C176" s="251"/>
      <c r="D176" s="251"/>
      <c r="J176" s="251"/>
    </row>
    <row r="177" ht="14.25" customHeight="1">
      <c r="A177" s="250"/>
      <c r="B177" s="251"/>
      <c r="C177" s="251"/>
      <c r="D177" s="251"/>
      <c r="J177" s="251"/>
    </row>
    <row r="178" ht="14.25" customHeight="1">
      <c r="A178" s="250"/>
      <c r="B178" s="251"/>
      <c r="C178" s="251"/>
      <c r="D178" s="251"/>
      <c r="J178" s="251"/>
    </row>
    <row r="179" ht="14.25" customHeight="1">
      <c r="A179" s="250"/>
      <c r="B179" s="251"/>
      <c r="C179" s="251"/>
      <c r="D179" s="251"/>
      <c r="J179" s="251"/>
    </row>
    <row r="180" ht="14.25" customHeight="1">
      <c r="A180" s="250"/>
      <c r="B180" s="251"/>
      <c r="C180" s="251"/>
      <c r="D180" s="251"/>
      <c r="J180" s="251"/>
    </row>
    <row r="181" ht="14.25" customHeight="1">
      <c r="A181" s="250"/>
      <c r="B181" s="251"/>
      <c r="C181" s="251"/>
      <c r="D181" s="251"/>
      <c r="J181" s="251"/>
    </row>
    <row r="182" ht="14.25" customHeight="1">
      <c r="A182" s="250"/>
      <c r="B182" s="251"/>
      <c r="C182" s="251"/>
      <c r="D182" s="251"/>
      <c r="J182" s="251"/>
    </row>
    <row r="183" ht="14.25" customHeight="1">
      <c r="A183" s="250"/>
      <c r="B183" s="251"/>
      <c r="C183" s="251"/>
      <c r="D183" s="251"/>
      <c r="J183" s="251"/>
    </row>
    <row r="184" ht="14.25" customHeight="1">
      <c r="A184" s="250"/>
      <c r="B184" s="251"/>
      <c r="C184" s="251"/>
      <c r="D184" s="251"/>
      <c r="J184" s="251"/>
    </row>
    <row r="185" ht="14.25" customHeight="1">
      <c r="A185" s="250"/>
      <c r="B185" s="251"/>
      <c r="C185" s="251"/>
      <c r="D185" s="251"/>
      <c r="J185" s="251"/>
    </row>
    <row r="186" ht="14.25" customHeight="1">
      <c r="A186" s="250"/>
      <c r="B186" s="251"/>
      <c r="C186" s="251"/>
      <c r="D186" s="251"/>
      <c r="J186" s="251"/>
    </row>
    <row r="187" ht="14.25" customHeight="1">
      <c r="A187" s="250"/>
      <c r="B187" s="251"/>
      <c r="C187" s="251"/>
      <c r="D187" s="251"/>
      <c r="J187" s="251"/>
    </row>
    <row r="188" ht="14.25" customHeight="1">
      <c r="A188" s="250"/>
      <c r="B188" s="251"/>
      <c r="C188" s="251"/>
      <c r="D188" s="251"/>
      <c r="J188" s="251"/>
    </row>
    <row r="189" ht="14.25" customHeight="1">
      <c r="A189" s="250"/>
      <c r="B189" s="251"/>
      <c r="C189" s="251"/>
      <c r="D189" s="251"/>
      <c r="J189" s="251"/>
    </row>
    <row r="190" ht="14.25" customHeight="1">
      <c r="A190" s="250"/>
      <c r="B190" s="251"/>
      <c r="C190" s="251"/>
      <c r="D190" s="251"/>
      <c r="J190" s="251"/>
    </row>
    <row r="191" ht="14.25" customHeight="1">
      <c r="A191" s="250"/>
      <c r="B191" s="251"/>
      <c r="C191" s="251"/>
      <c r="D191" s="251"/>
      <c r="J191" s="251"/>
    </row>
    <row r="192" ht="14.25" customHeight="1">
      <c r="A192" s="250"/>
      <c r="B192" s="251"/>
      <c r="C192" s="251"/>
      <c r="D192" s="251"/>
      <c r="J192" s="251"/>
    </row>
    <row r="193" ht="14.25" customHeight="1">
      <c r="A193" s="250"/>
      <c r="B193" s="251"/>
      <c r="C193" s="251"/>
      <c r="D193" s="251"/>
      <c r="J193" s="251"/>
    </row>
    <row r="194" ht="14.25" customHeight="1">
      <c r="A194" s="250"/>
      <c r="B194" s="251"/>
      <c r="C194" s="251"/>
      <c r="D194" s="251"/>
      <c r="J194" s="251"/>
    </row>
    <row r="195" ht="14.25" customHeight="1">
      <c r="A195" s="250"/>
      <c r="B195" s="251"/>
      <c r="C195" s="251"/>
      <c r="D195" s="251"/>
      <c r="J195" s="251"/>
    </row>
    <row r="196" ht="14.25" customHeight="1">
      <c r="A196" s="250"/>
      <c r="B196" s="251"/>
      <c r="C196" s="251"/>
      <c r="D196" s="251"/>
      <c r="J196" s="251"/>
    </row>
    <row r="197" ht="14.25" customHeight="1">
      <c r="A197" s="250"/>
      <c r="B197" s="251"/>
      <c r="C197" s="251"/>
      <c r="D197" s="251"/>
      <c r="J197" s="251"/>
    </row>
    <row r="198" ht="14.25" customHeight="1">
      <c r="A198" s="250"/>
      <c r="B198" s="251"/>
      <c r="C198" s="251"/>
      <c r="D198" s="251"/>
      <c r="J198" s="251"/>
    </row>
    <row r="199" ht="14.25" customHeight="1">
      <c r="A199" s="250"/>
      <c r="B199" s="251"/>
      <c r="C199" s="251"/>
      <c r="D199" s="251"/>
      <c r="J199" s="251"/>
    </row>
    <row r="200" ht="14.25" customHeight="1">
      <c r="A200" s="250"/>
      <c r="B200" s="251"/>
      <c r="C200" s="251"/>
      <c r="D200" s="251"/>
      <c r="J200" s="251"/>
    </row>
    <row r="201" ht="14.25" customHeight="1">
      <c r="A201" s="250"/>
      <c r="B201" s="251"/>
      <c r="C201" s="251"/>
      <c r="D201" s="251"/>
      <c r="J201" s="251"/>
    </row>
    <row r="202" ht="14.25" customHeight="1">
      <c r="A202" s="250"/>
      <c r="B202" s="251"/>
      <c r="C202" s="251"/>
      <c r="D202" s="251"/>
      <c r="J202" s="251"/>
    </row>
    <row r="203" ht="14.25" customHeight="1">
      <c r="A203" s="250"/>
      <c r="B203" s="251"/>
      <c r="C203" s="251"/>
      <c r="D203" s="251"/>
      <c r="J203" s="251"/>
    </row>
    <row r="204" ht="14.25" customHeight="1">
      <c r="A204" s="250"/>
      <c r="B204" s="251"/>
      <c r="C204" s="251"/>
      <c r="D204" s="251"/>
      <c r="J204" s="251"/>
    </row>
    <row r="205" ht="14.25" customHeight="1">
      <c r="A205" s="250"/>
      <c r="B205" s="251"/>
      <c r="C205" s="251"/>
      <c r="D205" s="251"/>
      <c r="J205" s="251"/>
    </row>
    <row r="206" ht="14.25" customHeight="1">
      <c r="A206" s="250"/>
      <c r="B206" s="251"/>
      <c r="C206" s="251"/>
      <c r="D206" s="251"/>
      <c r="J206" s="251"/>
    </row>
    <row r="207" ht="14.25" customHeight="1">
      <c r="A207" s="250"/>
      <c r="B207" s="251"/>
      <c r="C207" s="251"/>
      <c r="D207" s="251"/>
      <c r="J207" s="251"/>
    </row>
    <row r="208" ht="14.25" customHeight="1">
      <c r="A208" s="250"/>
      <c r="B208" s="251"/>
      <c r="C208" s="251"/>
      <c r="D208" s="251"/>
      <c r="J208" s="251"/>
    </row>
    <row r="209" ht="14.25" customHeight="1">
      <c r="A209" s="250"/>
      <c r="B209" s="251"/>
      <c r="C209" s="251"/>
      <c r="D209" s="251"/>
      <c r="J209" s="251"/>
    </row>
    <row r="210" ht="14.25" customHeight="1">
      <c r="A210" s="250"/>
      <c r="B210" s="251"/>
      <c r="C210" s="251"/>
      <c r="D210" s="251"/>
      <c r="J210" s="251"/>
    </row>
    <row r="211" ht="14.25" customHeight="1">
      <c r="A211" s="250"/>
      <c r="B211" s="251"/>
      <c r="C211" s="251"/>
      <c r="D211" s="251"/>
      <c r="J211" s="251"/>
    </row>
    <row r="212" ht="14.25" customHeight="1">
      <c r="A212" s="250"/>
      <c r="B212" s="251"/>
      <c r="C212" s="251"/>
      <c r="D212" s="251"/>
      <c r="J212" s="251"/>
    </row>
    <row r="213" ht="14.25" customHeight="1">
      <c r="A213" s="250"/>
      <c r="B213" s="251"/>
      <c r="C213" s="251"/>
      <c r="D213" s="251"/>
      <c r="J213" s="251"/>
    </row>
    <row r="214" ht="14.25" customHeight="1">
      <c r="A214" s="250"/>
      <c r="B214" s="251"/>
      <c r="C214" s="251"/>
      <c r="D214" s="251"/>
      <c r="J214" s="251"/>
    </row>
    <row r="215" ht="14.25" customHeight="1">
      <c r="A215" s="250"/>
      <c r="B215" s="251"/>
      <c r="C215" s="251"/>
      <c r="D215" s="251"/>
      <c r="J215" s="251"/>
    </row>
    <row r="216" ht="14.25" customHeight="1">
      <c r="A216" s="250"/>
      <c r="B216" s="251"/>
      <c r="C216" s="251"/>
      <c r="D216" s="251"/>
      <c r="J216" s="251"/>
    </row>
    <row r="217" ht="14.25" customHeight="1">
      <c r="A217" s="250"/>
      <c r="B217" s="251"/>
      <c r="C217" s="251"/>
      <c r="D217" s="251"/>
      <c r="J217" s="251"/>
    </row>
    <row r="218" ht="14.25" customHeight="1">
      <c r="A218" s="250"/>
      <c r="B218" s="251"/>
      <c r="C218" s="251"/>
      <c r="D218" s="251"/>
      <c r="J218" s="251"/>
    </row>
    <row r="219" ht="14.25" customHeight="1">
      <c r="A219" s="250"/>
      <c r="B219" s="251"/>
      <c r="C219" s="251"/>
      <c r="D219" s="251"/>
      <c r="J219" s="251"/>
    </row>
    <row r="220" ht="14.25" customHeight="1">
      <c r="A220" s="250"/>
      <c r="B220" s="251"/>
      <c r="C220" s="251"/>
      <c r="D220" s="251"/>
      <c r="J220" s="251"/>
    </row>
    <row r="221" ht="14.25" customHeight="1">
      <c r="A221" s="250"/>
      <c r="B221" s="251"/>
      <c r="C221" s="251"/>
      <c r="D221" s="251"/>
      <c r="J221" s="251"/>
    </row>
    <row r="222" ht="14.25" customHeight="1">
      <c r="A222" s="250"/>
      <c r="B222" s="251"/>
      <c r="C222" s="251"/>
      <c r="D222" s="251"/>
      <c r="J222" s="251"/>
    </row>
    <row r="223" ht="14.25" customHeight="1">
      <c r="A223" s="250"/>
      <c r="B223" s="251"/>
      <c r="C223" s="251"/>
      <c r="D223" s="251"/>
      <c r="J223" s="251"/>
    </row>
    <row r="224" ht="14.25" customHeight="1">
      <c r="A224" s="250"/>
      <c r="B224" s="251"/>
      <c r="C224" s="251"/>
      <c r="D224" s="251"/>
      <c r="J224" s="251"/>
    </row>
    <row r="225" ht="14.25" customHeight="1">
      <c r="A225" s="250"/>
      <c r="B225" s="251"/>
      <c r="C225" s="251"/>
      <c r="D225" s="251"/>
      <c r="J225" s="251"/>
    </row>
    <row r="226" ht="14.25" customHeight="1">
      <c r="A226" s="250"/>
      <c r="B226" s="251"/>
      <c r="C226" s="251"/>
      <c r="D226" s="251"/>
      <c r="J226" s="251"/>
    </row>
    <row r="227" ht="14.25" customHeight="1">
      <c r="A227" s="250"/>
      <c r="B227" s="251"/>
      <c r="C227" s="251"/>
      <c r="D227" s="251"/>
      <c r="J227" s="251"/>
    </row>
    <row r="228" ht="14.25" customHeight="1">
      <c r="A228" s="250"/>
      <c r="B228" s="251"/>
      <c r="C228" s="251"/>
      <c r="D228" s="251"/>
      <c r="J228" s="251"/>
    </row>
    <row r="229" ht="14.25" customHeight="1">
      <c r="A229" s="250"/>
      <c r="B229" s="251"/>
      <c r="C229" s="251"/>
      <c r="D229" s="251"/>
      <c r="J229" s="251"/>
    </row>
    <row r="230" ht="14.25" customHeight="1">
      <c r="A230" s="250"/>
      <c r="B230" s="251"/>
      <c r="C230" s="251"/>
      <c r="D230" s="251"/>
      <c r="J230" s="251"/>
    </row>
    <row r="231" ht="14.25" customHeight="1">
      <c r="A231" s="250"/>
      <c r="B231" s="251"/>
      <c r="C231" s="251"/>
      <c r="D231" s="251"/>
      <c r="J231" s="251"/>
    </row>
    <row r="232" ht="14.25" customHeight="1">
      <c r="A232" s="250"/>
      <c r="B232" s="251"/>
      <c r="C232" s="251"/>
      <c r="D232" s="251"/>
      <c r="J232" s="251"/>
    </row>
    <row r="233" ht="14.25" customHeight="1">
      <c r="A233" s="250"/>
      <c r="B233" s="251"/>
      <c r="C233" s="251"/>
      <c r="D233" s="251"/>
      <c r="J233" s="251"/>
    </row>
    <row r="234" ht="14.25" customHeight="1">
      <c r="A234" s="250"/>
      <c r="B234" s="251"/>
      <c r="C234" s="251"/>
      <c r="D234" s="251"/>
      <c r="J234" s="251"/>
    </row>
    <row r="235" ht="14.25" customHeight="1">
      <c r="A235" s="250"/>
      <c r="B235" s="251"/>
      <c r="C235" s="251"/>
      <c r="D235" s="251"/>
      <c r="J235" s="251"/>
    </row>
    <row r="236" ht="14.25" customHeight="1">
      <c r="A236" s="250"/>
      <c r="B236" s="251"/>
      <c r="C236" s="251"/>
      <c r="D236" s="251"/>
      <c r="J236" s="251"/>
    </row>
    <row r="237" ht="14.25" customHeight="1">
      <c r="A237" s="250"/>
      <c r="B237" s="251"/>
      <c r="C237" s="251"/>
      <c r="D237" s="251"/>
      <c r="J237" s="251"/>
    </row>
    <row r="238" ht="14.25" customHeight="1">
      <c r="A238" s="250"/>
      <c r="B238" s="251"/>
      <c r="C238" s="251"/>
      <c r="D238" s="251"/>
      <c r="J238" s="251"/>
    </row>
    <row r="239" ht="14.25" customHeight="1">
      <c r="A239" s="250"/>
      <c r="B239" s="251"/>
      <c r="C239" s="251"/>
      <c r="D239" s="251"/>
      <c r="J239" s="251"/>
    </row>
    <row r="240" ht="14.25" customHeight="1">
      <c r="A240" s="250"/>
      <c r="B240" s="251"/>
      <c r="C240" s="251"/>
      <c r="D240" s="251"/>
      <c r="J240" s="251"/>
    </row>
    <row r="241" ht="14.25" customHeight="1">
      <c r="A241" s="250"/>
      <c r="B241" s="251"/>
      <c r="C241" s="251"/>
      <c r="D241" s="251"/>
      <c r="J241" s="251"/>
    </row>
    <row r="242" ht="14.25" customHeight="1">
      <c r="A242" s="250"/>
      <c r="B242" s="251"/>
      <c r="C242" s="251"/>
      <c r="D242" s="251"/>
      <c r="J242" s="251"/>
    </row>
    <row r="243" ht="14.25" customHeight="1">
      <c r="A243" s="250"/>
      <c r="B243" s="251"/>
      <c r="C243" s="251"/>
      <c r="D243" s="251"/>
      <c r="J243" s="251"/>
    </row>
    <row r="244" ht="14.25" customHeight="1">
      <c r="A244" s="250"/>
      <c r="B244" s="251"/>
      <c r="C244" s="251"/>
      <c r="D244" s="251"/>
      <c r="J244" s="251"/>
    </row>
    <row r="245" ht="14.25" customHeight="1">
      <c r="A245" s="250"/>
      <c r="B245" s="251"/>
      <c r="C245" s="251"/>
      <c r="D245" s="251"/>
      <c r="J245" s="251"/>
    </row>
    <row r="246" ht="14.25" customHeight="1">
      <c r="A246" s="250"/>
      <c r="B246" s="251"/>
      <c r="C246" s="251"/>
      <c r="D246" s="251"/>
      <c r="J246" s="251"/>
    </row>
    <row r="247" ht="14.25" customHeight="1">
      <c r="A247" s="250"/>
      <c r="B247" s="251"/>
      <c r="C247" s="251"/>
      <c r="D247" s="251"/>
      <c r="J247" s="251"/>
    </row>
    <row r="248" ht="14.25" customHeight="1">
      <c r="A248" s="250"/>
      <c r="B248" s="251"/>
      <c r="C248" s="251"/>
      <c r="D248" s="251"/>
      <c r="J248" s="251"/>
    </row>
    <row r="249" ht="14.25" customHeight="1">
      <c r="A249" s="250"/>
      <c r="B249" s="251"/>
      <c r="C249" s="251"/>
      <c r="D249" s="251"/>
      <c r="J249" s="251"/>
    </row>
    <row r="250" ht="14.25" customHeight="1">
      <c r="A250" s="250"/>
      <c r="B250" s="251"/>
      <c r="C250" s="251"/>
      <c r="D250" s="251"/>
      <c r="J250" s="251"/>
    </row>
    <row r="251" ht="14.25" customHeight="1">
      <c r="A251" s="250"/>
      <c r="B251" s="251"/>
      <c r="C251" s="251"/>
      <c r="D251" s="251"/>
      <c r="J251" s="251"/>
    </row>
    <row r="252" ht="14.25" customHeight="1">
      <c r="A252" s="250"/>
      <c r="B252" s="251"/>
      <c r="C252" s="251"/>
      <c r="D252" s="251"/>
      <c r="J252" s="251"/>
    </row>
    <row r="253" ht="14.25" customHeight="1">
      <c r="A253" s="250"/>
      <c r="B253" s="251"/>
      <c r="C253" s="251"/>
      <c r="D253" s="251"/>
      <c r="J253" s="251"/>
    </row>
    <row r="254" ht="14.25" customHeight="1">
      <c r="A254" s="250"/>
      <c r="B254" s="251"/>
      <c r="C254" s="251"/>
      <c r="D254" s="251"/>
      <c r="J254" s="251"/>
    </row>
    <row r="255" ht="14.25" customHeight="1">
      <c r="A255" s="250"/>
      <c r="B255" s="251"/>
      <c r="C255" s="251"/>
      <c r="D255" s="251"/>
      <c r="J255" s="251"/>
    </row>
    <row r="256" ht="14.25" customHeight="1">
      <c r="A256" s="250"/>
      <c r="B256" s="251"/>
      <c r="C256" s="251"/>
      <c r="D256" s="251"/>
      <c r="J256" s="251"/>
    </row>
    <row r="257" ht="14.25" customHeight="1">
      <c r="A257" s="250"/>
      <c r="B257" s="251"/>
      <c r="C257" s="251"/>
      <c r="D257" s="251"/>
      <c r="J257" s="251"/>
    </row>
    <row r="258" ht="14.25" customHeight="1">
      <c r="A258" s="250"/>
      <c r="B258" s="251"/>
      <c r="C258" s="251"/>
      <c r="D258" s="251"/>
      <c r="J258" s="251"/>
    </row>
    <row r="259" ht="14.25" customHeight="1">
      <c r="A259" s="250"/>
      <c r="B259" s="251"/>
      <c r="C259" s="251"/>
      <c r="D259" s="251"/>
      <c r="J259" s="251"/>
    </row>
    <row r="260" ht="14.25" customHeight="1">
      <c r="A260" s="250"/>
      <c r="B260" s="251"/>
      <c r="C260" s="251"/>
      <c r="D260" s="251"/>
      <c r="J260" s="251"/>
    </row>
    <row r="261" ht="14.25" customHeight="1">
      <c r="A261" s="250"/>
      <c r="B261" s="251"/>
      <c r="C261" s="251"/>
      <c r="D261" s="251"/>
      <c r="J261" s="251"/>
    </row>
    <row r="262" ht="14.25" customHeight="1">
      <c r="A262" s="250"/>
      <c r="B262" s="251"/>
      <c r="C262" s="251"/>
      <c r="D262" s="251"/>
      <c r="J262" s="251"/>
    </row>
    <row r="263" ht="14.25" customHeight="1">
      <c r="A263" s="250"/>
      <c r="B263" s="251"/>
      <c r="C263" s="251"/>
      <c r="D263" s="251"/>
      <c r="J263" s="251"/>
    </row>
    <row r="264" ht="14.25" customHeight="1">
      <c r="A264" s="250"/>
      <c r="B264" s="251"/>
      <c r="C264" s="251"/>
      <c r="D264" s="251"/>
      <c r="J264" s="251"/>
    </row>
    <row r="265" ht="14.25" customHeight="1">
      <c r="A265" s="250"/>
      <c r="B265" s="251"/>
      <c r="C265" s="251"/>
      <c r="D265" s="251"/>
      <c r="J265" s="251"/>
    </row>
    <row r="266" ht="14.25" customHeight="1">
      <c r="A266" s="250"/>
      <c r="B266" s="251"/>
      <c r="C266" s="251"/>
      <c r="D266" s="251"/>
      <c r="J266" s="251"/>
    </row>
    <row r="267" ht="14.25" customHeight="1">
      <c r="A267" s="250"/>
      <c r="B267" s="251"/>
      <c r="C267" s="251"/>
      <c r="D267" s="251"/>
      <c r="J267" s="251"/>
    </row>
    <row r="268" ht="14.25" customHeight="1">
      <c r="A268" s="250"/>
      <c r="B268" s="251"/>
      <c r="C268" s="251"/>
      <c r="D268" s="251"/>
      <c r="J268" s="251"/>
    </row>
    <row r="269" ht="14.25" customHeight="1">
      <c r="A269" s="250"/>
      <c r="B269" s="251"/>
      <c r="C269" s="251"/>
      <c r="D269" s="251"/>
      <c r="J269" s="251"/>
    </row>
    <row r="270" ht="14.25" customHeight="1">
      <c r="A270" s="250"/>
      <c r="B270" s="251"/>
      <c r="C270" s="251"/>
      <c r="D270" s="251"/>
      <c r="J270" s="251"/>
    </row>
    <row r="271" ht="14.25" customHeight="1">
      <c r="A271" s="250"/>
      <c r="B271" s="251"/>
      <c r="C271" s="251"/>
      <c r="D271" s="251"/>
      <c r="J271" s="251"/>
    </row>
    <row r="272" ht="14.25" customHeight="1">
      <c r="A272" s="250"/>
      <c r="B272" s="251"/>
      <c r="C272" s="251"/>
      <c r="D272" s="251"/>
      <c r="J272" s="251"/>
    </row>
    <row r="273" ht="14.25" customHeight="1">
      <c r="A273" s="250"/>
      <c r="B273" s="251"/>
      <c r="C273" s="251"/>
      <c r="D273" s="251"/>
      <c r="J273" s="251"/>
    </row>
    <row r="274" ht="14.25" customHeight="1">
      <c r="A274" s="250"/>
      <c r="B274" s="251"/>
      <c r="C274" s="251"/>
      <c r="D274" s="251"/>
      <c r="J274" s="251"/>
    </row>
    <row r="275" ht="14.25" customHeight="1">
      <c r="A275" s="250"/>
      <c r="B275" s="251"/>
      <c r="C275" s="251"/>
      <c r="D275" s="251"/>
      <c r="J275" s="251"/>
    </row>
    <row r="276" ht="14.25" customHeight="1">
      <c r="A276" s="250"/>
      <c r="B276" s="251"/>
      <c r="C276" s="251"/>
      <c r="D276" s="251"/>
      <c r="J276" s="25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F3:F4"/>
    <mergeCell ref="G3:G4"/>
    <mergeCell ref="A1:J1"/>
    <mergeCell ref="A2:A4"/>
    <mergeCell ref="B2:B4"/>
    <mergeCell ref="C2:C4"/>
    <mergeCell ref="D2:D4"/>
    <mergeCell ref="E2:J2"/>
    <mergeCell ref="E3:E4"/>
    <mergeCell ref="H30:H31"/>
    <mergeCell ref="I38:J38"/>
    <mergeCell ref="I39:J39"/>
    <mergeCell ref="F40:G40"/>
    <mergeCell ref="I40:J40"/>
    <mergeCell ref="H46:H47"/>
    <mergeCell ref="G74:G75"/>
    <mergeCell ref="E76:F76"/>
    <mergeCell ref="H3:H4"/>
    <mergeCell ref="I3:J3"/>
    <mergeCell ref="H5:H6"/>
    <mergeCell ref="H10:H11"/>
    <mergeCell ref="H15:H16"/>
    <mergeCell ref="H20:H21"/>
    <mergeCell ref="H24:H25"/>
  </mergeCells>
  <hyperlinks>
    <hyperlink r:id="rId1" ref="H5"/>
    <hyperlink r:id="rId2" ref="E6"/>
    <hyperlink r:id="rId3" location="slide=id.p3" ref="E8"/>
    <hyperlink r:id="rId4" ref="H10"/>
    <hyperlink r:id="rId5" ref="E12"/>
    <hyperlink r:id="rId6" location="slide=id.p9" ref="E13"/>
    <hyperlink r:id="rId7" ref="H15"/>
    <hyperlink r:id="rId8" ref="E17"/>
    <hyperlink r:id="rId9" location="slide=id.p8" ref="E18"/>
    <hyperlink r:id="rId10" ref="H20"/>
    <hyperlink r:id="rId11" location="slide=id.p1" ref="E23"/>
    <hyperlink r:id="rId12" ref="H24"/>
    <hyperlink r:id="rId13" location="slide=id.p1" ref="E28"/>
    <hyperlink r:id="rId14" ref="H30"/>
    <hyperlink r:id="rId15" ref="H32"/>
    <hyperlink r:id="rId16" location="slide=id.p14" ref="E33"/>
    <hyperlink r:id="rId17" ref="I38"/>
    <hyperlink r:id="rId18" ref="I39"/>
    <hyperlink r:id="rId19" ref="F40"/>
    <hyperlink r:id="rId20" ref="I40"/>
    <hyperlink r:id="rId21" location="slide=id.p23" ref="H41"/>
    <hyperlink r:id="rId22" location="slide=id.p12" ref="E44"/>
    <hyperlink r:id="rId23" ref="H46"/>
    <hyperlink r:id="rId24" location="slide=id.p3" ref="E49"/>
    <hyperlink r:id="rId25" location="slide=id.p1" ref="E54"/>
    <hyperlink r:id="rId26" location="slide=id.p1" ref="E59"/>
    <hyperlink r:id="rId27" location="slide=id.p1" ref="E64"/>
    <hyperlink r:id="rId28" location="slide=id.p2" ref="E69"/>
    <hyperlink r:id="rId29" ref="G74"/>
    <hyperlink r:id="rId30" location="slide=id.p10" ref="E76"/>
    <hyperlink r:id="rId31" ref="G76"/>
  </hyperlinks>
  <printOptions/>
  <pageMargins bottom="0.75" footer="0.0" header="0.0" left="0.33199379870262336" right="0.0" top="0.39370078740157477"/>
  <pageSetup fitToHeight="0" paperSize="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2.71"/>
    <col customWidth="1" min="3" max="3" width="71.14"/>
  </cols>
  <sheetData>
    <row r="1">
      <c r="A1" s="12"/>
      <c r="B1" s="12"/>
      <c r="C1" s="12"/>
      <c r="D1" s="12"/>
    </row>
    <row r="2">
      <c r="A2" s="12"/>
      <c r="B2" s="12"/>
      <c r="C2" s="12"/>
      <c r="D2" s="12"/>
    </row>
    <row r="3">
      <c r="A3" s="12"/>
      <c r="B3" s="12"/>
      <c r="C3" s="12"/>
      <c r="D3" s="12"/>
    </row>
    <row r="4" ht="27.75" customHeight="1">
      <c r="A4" s="15"/>
      <c r="B4" s="17" t="s">
        <v>12</v>
      </c>
      <c r="C4" s="20" t="s">
        <v>15</v>
      </c>
      <c r="D4" s="15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1.75" customHeight="1">
      <c r="A5" s="12"/>
      <c r="B5" s="26" t="s">
        <v>2</v>
      </c>
      <c r="C5" s="29">
        <v>52.0</v>
      </c>
      <c r="D5" s="12"/>
    </row>
    <row r="6" ht="39.75" customHeight="1">
      <c r="A6" s="12"/>
      <c r="B6" s="33" t="s">
        <v>3</v>
      </c>
      <c r="C6" s="44" t="str">
        <f>vlookup($C$5,'Sun 2'!$B$5:$J$76,2,0)</f>
        <v>UNIT 10
OUR HOBBIES</v>
      </c>
      <c r="D6" s="12"/>
    </row>
    <row r="7" ht="29.25" customHeight="1">
      <c r="A7" s="12"/>
      <c r="B7" s="45" t="s">
        <v>31</v>
      </c>
      <c r="C7" s="48" t="str">
        <f>vlookup($C$5,'Sun 2'!$B$5:$J$76,3,0)</f>
        <v>70-71</v>
      </c>
      <c r="D7" s="12"/>
    </row>
    <row r="8" ht="78.0" customHeight="1">
      <c r="A8" s="12"/>
      <c r="B8" s="51" t="s">
        <v>8</v>
      </c>
      <c r="C8" s="55" t="str">
        <f>vlookup($C$5,'Sun 2'!$B$5:$J$76,4,0)</f>
        <v>- Hobbies: painting, table tennis, hockey, badminton, basketball, baseball.
- Reading: football and soccer.</v>
      </c>
      <c r="D8" s="12"/>
    </row>
    <row r="9" ht="69.0" customHeight="1">
      <c r="A9" s="12"/>
      <c r="B9" s="51" t="s">
        <v>9</v>
      </c>
      <c r="C9" s="55" t="str">
        <f>vlookup($C$5,'Sun 2'!$B$5:$J$76,5,0)</f>
        <v>- What's this?
It's.....
- My hobby is....</v>
      </c>
      <c r="D9" s="12"/>
    </row>
    <row r="10" ht="51.0" customHeight="1">
      <c r="A10" s="12"/>
      <c r="B10" s="51" t="s">
        <v>10</v>
      </c>
      <c r="C10" s="62" t="str">
        <f>vlookup($C$5,'Sun 2'!$B$5:$J$76,6,0)</f>
        <v>- Students know the different between sports and hobbies
- Students remember the words and use them with structure correctly.
</v>
      </c>
      <c r="D10" s="12"/>
    </row>
    <row r="11" ht="27.0" customHeight="1">
      <c r="A11" s="12"/>
      <c r="B11" s="45" t="s">
        <v>49</v>
      </c>
      <c r="C11" s="67" t="str">
        <f>vlookup($C$5,'Sun 2'!$B$5:$J$76,8,0)</f>
        <v>Handbook p.46</v>
      </c>
      <c r="D11" s="12"/>
    </row>
    <row r="12" ht="30.75" customHeight="1">
      <c r="A12" s="12"/>
      <c r="B12" s="45" t="s">
        <v>58</v>
      </c>
      <c r="C12" s="68" t="s">
        <v>59</v>
      </c>
      <c r="D12" s="12"/>
    </row>
    <row r="13">
      <c r="A13" s="12"/>
      <c r="B13" s="12"/>
      <c r="C13" s="12"/>
      <c r="D13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30.57"/>
    <col customWidth="1" min="5" max="5" width="116.14"/>
    <col customWidth="1" min="6" max="6" width="43.71"/>
    <col customWidth="1" min="7" max="7" width="111.14"/>
    <col customWidth="1" min="9" max="9" width="18.14"/>
  </cols>
  <sheetData>
    <row r="1">
      <c r="A1" s="2" t="s">
        <v>0</v>
      </c>
      <c r="B1" s="2" t="s">
        <v>2</v>
      </c>
      <c r="C1" s="4" t="s">
        <v>3</v>
      </c>
      <c r="D1" s="2" t="s">
        <v>4</v>
      </c>
      <c r="E1" s="6" t="s">
        <v>6</v>
      </c>
      <c r="F1" s="7"/>
      <c r="G1" s="7"/>
      <c r="H1" s="7"/>
      <c r="I1" s="9"/>
      <c r="J1" s="2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1"/>
      <c r="B2" s="11"/>
      <c r="C2" s="11"/>
      <c r="D2" s="11"/>
      <c r="E2" s="14" t="s">
        <v>8</v>
      </c>
      <c r="F2" s="14" t="s">
        <v>11</v>
      </c>
      <c r="G2" s="14" t="s">
        <v>10</v>
      </c>
      <c r="H2" s="16" t="s">
        <v>13</v>
      </c>
      <c r="I2" s="9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9"/>
      <c r="B3" s="19"/>
      <c r="C3" s="19"/>
      <c r="D3" s="19"/>
      <c r="E3" s="19"/>
      <c r="F3" s="19"/>
      <c r="G3" s="19"/>
      <c r="H3" s="23" t="s">
        <v>16</v>
      </c>
      <c r="I3" s="23" t="s">
        <v>17</v>
      </c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27"/>
      <c r="B4" s="7"/>
      <c r="C4" s="7"/>
      <c r="D4" s="7"/>
      <c r="E4" s="7"/>
      <c r="F4" s="7"/>
      <c r="G4" s="7"/>
      <c r="H4" s="7"/>
      <c r="I4" s="7"/>
      <c r="J4" s="9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>
      <c r="A5" s="35"/>
      <c r="B5" s="37" t="s">
        <v>22</v>
      </c>
      <c r="C5" s="39" t="s">
        <v>24</v>
      </c>
      <c r="D5" s="37">
        <v>4.0</v>
      </c>
      <c r="E5" s="41" t="s">
        <v>26</v>
      </c>
      <c r="F5" s="41" t="s">
        <v>27</v>
      </c>
      <c r="G5" s="41" t="s">
        <v>29</v>
      </c>
      <c r="H5" s="37">
        <v>1.0</v>
      </c>
      <c r="I5" s="42" t="s">
        <v>30</v>
      </c>
      <c r="J5" s="43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35"/>
      <c r="B6" s="37" t="s">
        <v>32</v>
      </c>
      <c r="C6" s="39" t="s">
        <v>24</v>
      </c>
      <c r="D6" s="46">
        <v>45813.0</v>
      </c>
      <c r="E6" s="41" t="s">
        <v>33</v>
      </c>
      <c r="F6" s="41" t="s">
        <v>34</v>
      </c>
      <c r="G6" s="41" t="s">
        <v>35</v>
      </c>
      <c r="H6" s="37">
        <v>2.0</v>
      </c>
      <c r="I6" s="42" t="s">
        <v>36</v>
      </c>
      <c r="J6" s="4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35"/>
      <c r="B7" s="37" t="s">
        <v>38</v>
      </c>
      <c r="C7" s="39" t="s">
        <v>24</v>
      </c>
      <c r="D7" s="37">
        <v>7.0</v>
      </c>
      <c r="E7" s="41" t="s">
        <v>39</v>
      </c>
      <c r="F7" s="41" t="s">
        <v>40</v>
      </c>
      <c r="G7" s="41" t="s">
        <v>41</v>
      </c>
      <c r="H7" s="37">
        <v>3.0</v>
      </c>
      <c r="I7" s="42" t="s">
        <v>43</v>
      </c>
      <c r="J7" s="4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35"/>
      <c r="B8" s="37" t="s">
        <v>44</v>
      </c>
      <c r="C8" s="39" t="s">
        <v>24</v>
      </c>
      <c r="D8" s="46">
        <v>45908.0</v>
      </c>
      <c r="E8" s="64" t="s">
        <v>45</v>
      </c>
      <c r="F8" s="41" t="s">
        <v>51</v>
      </c>
      <c r="G8" s="41" t="s">
        <v>53</v>
      </c>
      <c r="H8" s="37">
        <v>4.0</v>
      </c>
      <c r="I8" s="42" t="s">
        <v>55</v>
      </c>
      <c r="J8" s="4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35"/>
      <c r="B9" s="37" t="s">
        <v>61</v>
      </c>
      <c r="C9" s="39" t="s">
        <v>24</v>
      </c>
      <c r="D9" s="70" t="s">
        <v>62</v>
      </c>
      <c r="E9" s="41"/>
      <c r="F9" s="41" t="s">
        <v>64</v>
      </c>
      <c r="G9" s="41"/>
      <c r="H9" s="42"/>
      <c r="I9" s="42"/>
      <c r="J9" s="7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35"/>
      <c r="B10" s="37" t="s">
        <v>65</v>
      </c>
      <c r="C10" s="72" t="s">
        <v>66</v>
      </c>
      <c r="D10" s="46">
        <v>45971.0</v>
      </c>
      <c r="E10" s="41" t="s">
        <v>67</v>
      </c>
      <c r="F10" s="41" t="s">
        <v>68</v>
      </c>
      <c r="G10" s="41" t="s">
        <v>69</v>
      </c>
      <c r="H10" s="37">
        <v>6.0</v>
      </c>
      <c r="I10" s="42" t="s">
        <v>71</v>
      </c>
      <c r="J10" s="4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35"/>
      <c r="B11" s="89" t="s">
        <v>96</v>
      </c>
      <c r="C11" s="39" t="s">
        <v>66</v>
      </c>
      <c r="D11" s="89" t="s">
        <v>88</v>
      </c>
      <c r="E11" s="90" t="s">
        <v>97</v>
      </c>
      <c r="F11" s="90" t="s">
        <v>98</v>
      </c>
      <c r="G11" s="90" t="s">
        <v>99</v>
      </c>
      <c r="H11" s="89">
        <v>7.0</v>
      </c>
      <c r="I11" s="91" t="s">
        <v>100</v>
      </c>
      <c r="J11" s="92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>
      <c r="A12" s="35"/>
      <c r="B12" s="37" t="s">
        <v>101</v>
      </c>
      <c r="C12" s="72" t="s">
        <v>66</v>
      </c>
      <c r="D12" s="37" t="s">
        <v>94</v>
      </c>
      <c r="E12" s="41" t="s">
        <v>102</v>
      </c>
      <c r="F12" s="41" t="s">
        <v>103</v>
      </c>
      <c r="G12" s="41" t="s">
        <v>104</v>
      </c>
      <c r="H12" s="37">
        <v>8.0</v>
      </c>
      <c r="I12" s="42" t="s">
        <v>105</v>
      </c>
      <c r="J12" s="4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35"/>
      <c r="B13" s="37" t="s">
        <v>110</v>
      </c>
      <c r="C13" s="72" t="s">
        <v>66</v>
      </c>
      <c r="D13" s="37" t="s">
        <v>111</v>
      </c>
      <c r="E13" s="64" t="s">
        <v>112</v>
      </c>
      <c r="F13" s="41" t="s">
        <v>118</v>
      </c>
      <c r="G13" s="41" t="s">
        <v>119</v>
      </c>
      <c r="H13" s="37">
        <v>9.0</v>
      </c>
      <c r="I13" s="42" t="s">
        <v>120</v>
      </c>
      <c r="J13" s="4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35"/>
      <c r="B14" s="37" t="s">
        <v>125</v>
      </c>
      <c r="C14" s="72" t="s">
        <v>66</v>
      </c>
      <c r="D14" s="70" t="s">
        <v>62</v>
      </c>
      <c r="E14" s="41"/>
      <c r="F14" s="41" t="s">
        <v>127</v>
      </c>
      <c r="G14" s="41"/>
      <c r="H14" s="42"/>
      <c r="I14" s="42"/>
      <c r="J14" s="7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97"/>
      <c r="B15" s="98" t="s">
        <v>133</v>
      </c>
      <c r="C15" s="99" t="s">
        <v>134</v>
      </c>
      <c r="D15" s="100" t="s">
        <v>135</v>
      </c>
      <c r="E15" s="101" t="s">
        <v>136</v>
      </c>
      <c r="F15" s="102" t="s">
        <v>137</v>
      </c>
      <c r="G15" s="102" t="s">
        <v>139</v>
      </c>
      <c r="H15" s="102" t="s">
        <v>141</v>
      </c>
      <c r="I15" s="103" t="s">
        <v>142</v>
      </c>
      <c r="J15" s="104" t="s">
        <v>149</v>
      </c>
      <c r="K15" s="105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35"/>
      <c r="B16" s="37" t="s">
        <v>154</v>
      </c>
      <c r="C16" s="72" t="s">
        <v>155</v>
      </c>
      <c r="D16" s="37">
        <v>18.0</v>
      </c>
      <c r="E16" s="41" t="s">
        <v>129</v>
      </c>
      <c r="F16" s="41" t="s">
        <v>156</v>
      </c>
      <c r="G16" s="41" t="s">
        <v>131</v>
      </c>
      <c r="H16" s="37">
        <v>11.0</v>
      </c>
      <c r="I16" s="42" t="s">
        <v>140</v>
      </c>
      <c r="J16" s="43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35"/>
      <c r="B17" s="37" t="s">
        <v>167</v>
      </c>
      <c r="C17" s="72" t="s">
        <v>155</v>
      </c>
      <c r="D17" s="37">
        <v>19.0</v>
      </c>
      <c r="E17" s="41" t="s">
        <v>171</v>
      </c>
      <c r="F17" s="41" t="s">
        <v>172</v>
      </c>
      <c r="G17" s="41" t="s">
        <v>145</v>
      </c>
      <c r="H17" s="37">
        <v>12.0</v>
      </c>
      <c r="I17" s="42" t="s">
        <v>100</v>
      </c>
      <c r="J17" s="43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35"/>
      <c r="B18" s="37" t="s">
        <v>176</v>
      </c>
      <c r="C18" s="72" t="s">
        <v>155</v>
      </c>
      <c r="D18" s="37">
        <v>20.0</v>
      </c>
      <c r="E18" s="41" t="s">
        <v>177</v>
      </c>
      <c r="F18" s="41" t="s">
        <v>178</v>
      </c>
      <c r="G18" s="41" t="s">
        <v>179</v>
      </c>
      <c r="H18" s="37">
        <v>13.0</v>
      </c>
      <c r="I18" s="42" t="s">
        <v>181</v>
      </c>
      <c r="J18" s="4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35"/>
      <c r="B19" s="37" t="s">
        <v>186</v>
      </c>
      <c r="C19" s="72" t="s">
        <v>155</v>
      </c>
      <c r="D19" s="37" t="s">
        <v>157</v>
      </c>
      <c r="E19" s="64" t="s">
        <v>189</v>
      </c>
      <c r="F19" s="41" t="s">
        <v>196</v>
      </c>
      <c r="G19" s="41" t="s">
        <v>198</v>
      </c>
      <c r="H19" s="37">
        <v>14.0</v>
      </c>
      <c r="I19" s="42" t="s">
        <v>199</v>
      </c>
      <c r="J19" s="4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35"/>
      <c r="B20" s="37" t="s">
        <v>201</v>
      </c>
      <c r="C20" s="72" t="s">
        <v>155</v>
      </c>
      <c r="D20" s="70" t="s">
        <v>62</v>
      </c>
      <c r="E20" s="41"/>
      <c r="F20" s="41" t="s">
        <v>203</v>
      </c>
      <c r="G20" s="41"/>
      <c r="H20" s="42"/>
      <c r="I20" s="42"/>
      <c r="J20" s="10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35"/>
      <c r="B21" s="37" t="s">
        <v>210</v>
      </c>
      <c r="C21" s="72" t="s">
        <v>211</v>
      </c>
      <c r="D21" s="37" t="s">
        <v>169</v>
      </c>
      <c r="E21" s="41" t="s">
        <v>212</v>
      </c>
      <c r="F21" s="41" t="s">
        <v>213</v>
      </c>
      <c r="G21" s="41" t="s">
        <v>174</v>
      </c>
      <c r="H21" s="37">
        <v>16.0</v>
      </c>
      <c r="I21" s="42" t="s">
        <v>30</v>
      </c>
      <c r="J21" s="4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35"/>
      <c r="B22" s="37" t="s">
        <v>215</v>
      </c>
      <c r="C22" s="72" t="s">
        <v>211</v>
      </c>
      <c r="D22" s="37" t="s">
        <v>182</v>
      </c>
      <c r="E22" s="41" t="s">
        <v>220</v>
      </c>
      <c r="F22" s="41" t="s">
        <v>221</v>
      </c>
      <c r="G22" s="41" t="s">
        <v>222</v>
      </c>
      <c r="H22" s="37">
        <v>17.0</v>
      </c>
      <c r="I22" s="42" t="s">
        <v>223</v>
      </c>
      <c r="J22" s="4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35"/>
      <c r="B23" s="37" t="s">
        <v>227</v>
      </c>
      <c r="C23" s="72" t="s">
        <v>211</v>
      </c>
      <c r="D23" s="42" t="s">
        <v>190</v>
      </c>
      <c r="E23" s="41" t="s">
        <v>241</v>
      </c>
      <c r="F23" s="41" t="s">
        <v>242</v>
      </c>
      <c r="G23" s="41" t="s">
        <v>243</v>
      </c>
      <c r="H23" s="42">
        <v>18.0</v>
      </c>
      <c r="I23" s="42" t="s">
        <v>244</v>
      </c>
      <c r="J23" s="4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35"/>
      <c r="B24" s="37" t="s">
        <v>248</v>
      </c>
      <c r="C24" s="72" t="s">
        <v>211</v>
      </c>
      <c r="D24" s="37" t="s">
        <v>197</v>
      </c>
      <c r="E24" s="64" t="s">
        <v>250</v>
      </c>
      <c r="F24" s="41" t="s">
        <v>253</v>
      </c>
      <c r="G24" s="41" t="s">
        <v>255</v>
      </c>
      <c r="H24" s="37">
        <v>19.0</v>
      </c>
      <c r="I24" s="42" t="s">
        <v>257</v>
      </c>
      <c r="J24" s="43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35"/>
      <c r="B25" s="37" t="s">
        <v>260</v>
      </c>
      <c r="C25" s="72" t="s">
        <v>211</v>
      </c>
      <c r="D25" s="70" t="s">
        <v>62</v>
      </c>
      <c r="E25" s="41"/>
      <c r="F25" s="41" t="s">
        <v>221</v>
      </c>
      <c r="G25" s="41"/>
      <c r="H25" s="42"/>
      <c r="I25" s="42"/>
      <c r="J25" s="10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97"/>
      <c r="B26" s="98" t="s">
        <v>263</v>
      </c>
      <c r="C26" s="100" t="s">
        <v>265</v>
      </c>
      <c r="D26" s="101" t="s">
        <v>267</v>
      </c>
      <c r="E26" s="102" t="s">
        <v>269</v>
      </c>
      <c r="F26" s="102" t="s">
        <v>271</v>
      </c>
      <c r="G26" s="102" t="s">
        <v>273</v>
      </c>
      <c r="H26" s="103" t="s">
        <v>275</v>
      </c>
      <c r="I26" s="104" t="s">
        <v>276</v>
      </c>
      <c r="J26" s="13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35"/>
      <c r="B27" s="37" t="s">
        <v>282</v>
      </c>
      <c r="C27" s="72" t="s">
        <v>283</v>
      </c>
      <c r="D27" s="37">
        <v>34.0</v>
      </c>
      <c r="E27" s="41" t="s">
        <v>284</v>
      </c>
      <c r="F27" s="41" t="s">
        <v>285</v>
      </c>
      <c r="G27" s="41" t="s">
        <v>131</v>
      </c>
      <c r="H27" s="37">
        <v>21.0</v>
      </c>
      <c r="I27" s="42" t="s">
        <v>140</v>
      </c>
      <c r="J27" s="4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44"/>
      <c r="B28" s="37" t="s">
        <v>288</v>
      </c>
      <c r="C28" s="145" t="s">
        <v>283</v>
      </c>
      <c r="D28" s="146">
        <v>35.0</v>
      </c>
      <c r="E28" s="147" t="s">
        <v>289</v>
      </c>
      <c r="F28" s="147" t="s">
        <v>290</v>
      </c>
      <c r="G28" s="147" t="s">
        <v>226</v>
      </c>
      <c r="H28" s="146">
        <v>22.0</v>
      </c>
      <c r="I28" s="148" t="s">
        <v>292</v>
      </c>
      <c r="J28" s="14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50"/>
      <c r="B29" s="37" t="s">
        <v>294</v>
      </c>
      <c r="C29" s="145" t="s">
        <v>283</v>
      </c>
      <c r="D29" s="146" t="s">
        <v>230</v>
      </c>
      <c r="E29" s="147" t="s">
        <v>297</v>
      </c>
      <c r="F29" s="147" t="s">
        <v>298</v>
      </c>
      <c r="G29" s="147" t="s">
        <v>299</v>
      </c>
      <c r="H29" s="146">
        <v>23.0</v>
      </c>
      <c r="I29" s="148" t="s">
        <v>301</v>
      </c>
      <c r="J29" s="14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35"/>
      <c r="B30" s="37" t="s">
        <v>305</v>
      </c>
      <c r="C30" s="145" t="s">
        <v>283</v>
      </c>
      <c r="D30" s="146" t="s">
        <v>236</v>
      </c>
      <c r="E30" s="153" t="s">
        <v>307</v>
      </c>
      <c r="F30" s="147" t="s">
        <v>310</v>
      </c>
      <c r="G30" s="147" t="s">
        <v>311</v>
      </c>
      <c r="H30" s="146">
        <v>24.0</v>
      </c>
      <c r="I30" s="148" t="s">
        <v>257</v>
      </c>
      <c r="J30" s="14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35"/>
      <c r="B31" s="89" t="s">
        <v>314</v>
      </c>
      <c r="C31" s="156" t="s">
        <v>283</v>
      </c>
      <c r="D31" s="158" t="s">
        <v>62</v>
      </c>
      <c r="E31" s="159"/>
      <c r="F31" s="159" t="s">
        <v>316</v>
      </c>
      <c r="G31" s="159"/>
      <c r="H31" s="160"/>
      <c r="I31" s="160"/>
      <c r="J31" s="162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</row>
    <row r="32" ht="15.75" customHeight="1">
      <c r="A32" s="35"/>
      <c r="B32" s="37" t="s">
        <v>322</v>
      </c>
      <c r="C32" s="145" t="s">
        <v>324</v>
      </c>
      <c r="D32" s="146" t="s">
        <v>252</v>
      </c>
      <c r="E32" s="147" t="s">
        <v>326</v>
      </c>
      <c r="F32" s="147" t="s">
        <v>327</v>
      </c>
      <c r="G32" s="147" t="s">
        <v>329</v>
      </c>
      <c r="H32" s="146">
        <v>26.0</v>
      </c>
      <c r="I32" s="148" t="s">
        <v>330</v>
      </c>
      <c r="J32" s="17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35"/>
      <c r="B33" s="37" t="s">
        <v>344</v>
      </c>
      <c r="C33" s="145" t="s">
        <v>324</v>
      </c>
      <c r="D33" s="146" t="s">
        <v>264</v>
      </c>
      <c r="E33" s="147" t="s">
        <v>345</v>
      </c>
      <c r="F33" s="147" t="s">
        <v>346</v>
      </c>
      <c r="G33" s="147" t="s">
        <v>347</v>
      </c>
      <c r="H33" s="146">
        <v>27.0</v>
      </c>
      <c r="I33" s="148" t="s">
        <v>274</v>
      </c>
      <c r="J33" s="18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35"/>
      <c r="B34" s="37" t="s">
        <v>352</v>
      </c>
      <c r="C34" s="156" t="s">
        <v>324</v>
      </c>
      <c r="D34" s="185" t="s">
        <v>277</v>
      </c>
      <c r="E34" s="159" t="s">
        <v>353</v>
      </c>
      <c r="F34" s="159" t="s">
        <v>354</v>
      </c>
      <c r="G34" s="159" t="s">
        <v>355</v>
      </c>
      <c r="H34" s="185">
        <v>28.0</v>
      </c>
      <c r="I34" s="160" t="s">
        <v>287</v>
      </c>
      <c r="J34" s="186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 ht="15.75" customHeight="1">
      <c r="A35" s="35"/>
      <c r="B35" s="37" t="s">
        <v>134</v>
      </c>
      <c r="C35" s="145" t="s">
        <v>324</v>
      </c>
      <c r="D35" s="146" t="s">
        <v>291</v>
      </c>
      <c r="E35" s="153" t="s">
        <v>362</v>
      </c>
      <c r="F35" s="147" t="s">
        <v>366</v>
      </c>
      <c r="G35" s="147" t="s">
        <v>367</v>
      </c>
      <c r="H35" s="146">
        <v>29.0</v>
      </c>
      <c r="I35" s="148" t="s">
        <v>223</v>
      </c>
      <c r="J35" s="18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35"/>
      <c r="B36" s="89" t="s">
        <v>372</v>
      </c>
      <c r="C36" s="156" t="s">
        <v>324</v>
      </c>
      <c r="D36" s="187" t="s">
        <v>62</v>
      </c>
      <c r="E36" s="159"/>
      <c r="F36" s="159" t="s">
        <v>376</v>
      </c>
      <c r="G36" s="159"/>
      <c r="H36" s="160"/>
      <c r="I36" s="160"/>
      <c r="J36" s="189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 ht="15.75" customHeight="1">
      <c r="A37" s="97"/>
      <c r="B37" s="98" t="s">
        <v>382</v>
      </c>
      <c r="C37" s="190" t="s">
        <v>384</v>
      </c>
      <c r="D37" s="99" t="s">
        <v>317</v>
      </c>
      <c r="E37" s="191" t="s">
        <v>318</v>
      </c>
      <c r="F37" s="191" t="s">
        <v>385</v>
      </c>
      <c r="G37" s="191" t="s">
        <v>320</v>
      </c>
      <c r="H37" s="103" t="s">
        <v>387</v>
      </c>
      <c r="I37" s="104" t="s">
        <v>388</v>
      </c>
      <c r="J37" s="192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 ht="15.75" customHeight="1">
      <c r="A38" s="35"/>
      <c r="B38" s="37" t="s">
        <v>395</v>
      </c>
      <c r="C38" s="145" t="s">
        <v>308</v>
      </c>
      <c r="D38" s="146" t="s">
        <v>136</v>
      </c>
      <c r="E38" s="193" t="s">
        <v>137</v>
      </c>
      <c r="F38" s="193" t="s">
        <v>139</v>
      </c>
      <c r="G38" s="193" t="s">
        <v>141</v>
      </c>
      <c r="H38" s="194" t="s">
        <v>400</v>
      </c>
      <c r="I38" s="195" t="s">
        <v>149</v>
      </c>
      <c r="J38" s="184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35"/>
      <c r="B39" s="37" t="s">
        <v>426</v>
      </c>
      <c r="C39" s="145" t="s">
        <v>308</v>
      </c>
      <c r="D39" s="146" t="s">
        <v>267</v>
      </c>
      <c r="E39" s="147" t="s">
        <v>269</v>
      </c>
      <c r="F39" s="147" t="s">
        <v>271</v>
      </c>
      <c r="G39" s="147" t="s">
        <v>273</v>
      </c>
      <c r="H39" s="194" t="s">
        <v>427</v>
      </c>
      <c r="I39" s="195" t="s">
        <v>276</v>
      </c>
      <c r="J39" s="184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35"/>
      <c r="B40" s="37" t="s">
        <v>428</v>
      </c>
      <c r="C40" s="204" t="s">
        <v>323</v>
      </c>
      <c r="D40" s="205" t="s">
        <v>325</v>
      </c>
      <c r="E40" s="206" t="s">
        <v>429</v>
      </c>
      <c r="F40" s="7"/>
      <c r="G40" s="7"/>
      <c r="H40" s="208" t="s">
        <v>430</v>
      </c>
      <c r="I40" s="9"/>
      <c r="J40" s="209" t="s">
        <v>436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27"/>
      <c r="B41" s="210"/>
      <c r="C41" s="211"/>
      <c r="D41" s="211"/>
      <c r="E41" s="211"/>
      <c r="F41" s="211"/>
      <c r="G41" s="211"/>
      <c r="H41" s="211"/>
      <c r="I41" s="211"/>
      <c r="J41" s="211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2"/>
    </row>
    <row r="42" ht="15.75" customHeight="1">
      <c r="A42" s="144"/>
      <c r="B42" s="146" t="s">
        <v>460</v>
      </c>
      <c r="C42" s="145" t="s">
        <v>462</v>
      </c>
      <c r="D42" s="146">
        <v>48.0</v>
      </c>
      <c r="E42" s="147" t="s">
        <v>339</v>
      </c>
      <c r="F42" s="147" t="s">
        <v>465</v>
      </c>
      <c r="G42" s="147" t="s">
        <v>466</v>
      </c>
      <c r="H42" s="146">
        <v>31.0</v>
      </c>
      <c r="I42" s="148" t="s">
        <v>30</v>
      </c>
      <c r="J42" s="184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44"/>
      <c r="B43" s="146" t="s">
        <v>470</v>
      </c>
      <c r="C43" s="145" t="s">
        <v>462</v>
      </c>
      <c r="D43" s="146">
        <v>49.0</v>
      </c>
      <c r="E43" s="147" t="s">
        <v>471</v>
      </c>
      <c r="F43" s="147" t="s">
        <v>472</v>
      </c>
      <c r="G43" s="147" t="s">
        <v>474</v>
      </c>
      <c r="H43" s="146">
        <v>32.0</v>
      </c>
      <c r="I43" s="148" t="s">
        <v>140</v>
      </c>
      <c r="J43" s="18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44"/>
      <c r="B44" s="146" t="s">
        <v>478</v>
      </c>
      <c r="C44" s="145" t="s">
        <v>462</v>
      </c>
      <c r="D44" s="146" t="s">
        <v>356</v>
      </c>
      <c r="E44" s="147" t="s">
        <v>357</v>
      </c>
      <c r="F44" s="147" t="s">
        <v>480</v>
      </c>
      <c r="G44" s="147" t="s">
        <v>482</v>
      </c>
      <c r="H44" s="146">
        <v>33.0</v>
      </c>
      <c r="I44" s="148" t="s">
        <v>484</v>
      </c>
      <c r="J44" s="184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44"/>
      <c r="B45" s="146" t="s">
        <v>488</v>
      </c>
      <c r="C45" s="145" t="s">
        <v>462</v>
      </c>
      <c r="D45" s="146" t="s">
        <v>363</v>
      </c>
      <c r="E45" s="153" t="s">
        <v>490</v>
      </c>
      <c r="F45" s="147" t="s">
        <v>498</v>
      </c>
      <c r="G45" s="147" t="s">
        <v>500</v>
      </c>
      <c r="H45" s="146">
        <v>34.0</v>
      </c>
      <c r="I45" s="148" t="s">
        <v>370</v>
      </c>
      <c r="J45" s="215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50"/>
      <c r="B46" s="146" t="s">
        <v>507</v>
      </c>
      <c r="C46" s="145" t="s">
        <v>462</v>
      </c>
      <c r="D46" s="187" t="s">
        <v>62</v>
      </c>
      <c r="E46" s="147"/>
      <c r="F46" s="147" t="s">
        <v>509</v>
      </c>
      <c r="G46" s="147"/>
      <c r="H46" s="146"/>
      <c r="I46" s="148"/>
      <c r="J46" s="216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44"/>
      <c r="B47" s="146" t="s">
        <v>515</v>
      </c>
      <c r="C47" s="145" t="s">
        <v>517</v>
      </c>
      <c r="D47" s="146" t="s">
        <v>378</v>
      </c>
      <c r="E47" s="147" t="s">
        <v>520</v>
      </c>
      <c r="F47" s="147" t="s">
        <v>522</v>
      </c>
      <c r="G47" s="147" t="s">
        <v>523</v>
      </c>
      <c r="H47" s="146">
        <v>36.0</v>
      </c>
      <c r="I47" s="148" t="s">
        <v>100</v>
      </c>
      <c r="J47" s="184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50"/>
      <c r="B48" s="146" t="s">
        <v>526</v>
      </c>
      <c r="C48" s="145" t="s">
        <v>517</v>
      </c>
      <c r="D48" s="146" t="s">
        <v>389</v>
      </c>
      <c r="E48" s="147" t="s">
        <v>528</v>
      </c>
      <c r="F48" s="147" t="s">
        <v>529</v>
      </c>
      <c r="G48" s="147" t="s">
        <v>530</v>
      </c>
      <c r="H48" s="146">
        <v>37.0</v>
      </c>
      <c r="I48" s="148" t="s">
        <v>531</v>
      </c>
      <c r="J48" s="184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35"/>
      <c r="B49" s="146" t="s">
        <v>533</v>
      </c>
      <c r="C49" s="145" t="s">
        <v>517</v>
      </c>
      <c r="D49" s="146" t="s">
        <v>396</v>
      </c>
      <c r="E49" s="147" t="s">
        <v>535</v>
      </c>
      <c r="F49" s="147" t="s">
        <v>536</v>
      </c>
      <c r="G49" s="147" t="s">
        <v>537</v>
      </c>
      <c r="H49" s="146">
        <v>38.0</v>
      </c>
      <c r="I49" s="148" t="s">
        <v>301</v>
      </c>
      <c r="J49" s="184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35"/>
      <c r="B50" s="146" t="s">
        <v>541</v>
      </c>
      <c r="C50" s="145" t="s">
        <v>517</v>
      </c>
      <c r="D50" s="146" t="s">
        <v>402</v>
      </c>
      <c r="E50" s="225" t="s">
        <v>542</v>
      </c>
      <c r="F50" s="147" t="s">
        <v>547</v>
      </c>
      <c r="G50" s="147" t="s">
        <v>549</v>
      </c>
      <c r="H50" s="146">
        <v>39.0</v>
      </c>
      <c r="I50" s="148" t="s">
        <v>287</v>
      </c>
      <c r="J50" s="184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35"/>
      <c r="B51" s="146" t="s">
        <v>552</v>
      </c>
      <c r="C51" s="145" t="s">
        <v>517</v>
      </c>
      <c r="D51" s="228" t="s">
        <v>62</v>
      </c>
      <c r="E51" s="147"/>
      <c r="F51" s="147" t="s">
        <v>553</v>
      </c>
      <c r="G51" s="147"/>
      <c r="H51" s="146"/>
      <c r="I51" s="148"/>
      <c r="J51" s="216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97"/>
      <c r="B52" s="99" t="s">
        <v>558</v>
      </c>
      <c r="C52" s="233" t="s">
        <v>559</v>
      </c>
      <c r="D52" s="98" t="s">
        <v>317</v>
      </c>
      <c r="E52" s="191" t="s">
        <v>543</v>
      </c>
      <c r="F52" s="191"/>
      <c r="G52" s="191" t="s">
        <v>544</v>
      </c>
      <c r="H52" s="103" t="s">
        <v>561</v>
      </c>
      <c r="I52" s="104" t="s">
        <v>564</v>
      </c>
      <c r="J52" s="236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35"/>
      <c r="B53" s="146" t="s">
        <v>566</v>
      </c>
      <c r="C53" s="145" t="s">
        <v>567</v>
      </c>
      <c r="D53" s="241">
        <v>64.0</v>
      </c>
      <c r="E53" s="193" t="s">
        <v>568</v>
      </c>
      <c r="F53" s="193" t="s">
        <v>569</v>
      </c>
      <c r="G53" s="193" t="s">
        <v>570</v>
      </c>
      <c r="H53" s="241">
        <v>41.0</v>
      </c>
      <c r="I53" s="242" t="s">
        <v>416</v>
      </c>
      <c r="J53" s="24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35"/>
      <c r="B54" s="146" t="s">
        <v>571</v>
      </c>
      <c r="C54" s="145" t="s">
        <v>567</v>
      </c>
      <c r="D54" s="146">
        <v>65.0</v>
      </c>
      <c r="E54" s="147" t="s">
        <v>572</v>
      </c>
      <c r="F54" s="147" t="s">
        <v>573</v>
      </c>
      <c r="G54" s="147" t="s">
        <v>574</v>
      </c>
      <c r="H54" s="146">
        <v>42.0</v>
      </c>
      <c r="I54" s="148" t="s">
        <v>301</v>
      </c>
      <c r="J54" s="14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35"/>
      <c r="B55" s="146" t="s">
        <v>577</v>
      </c>
      <c r="C55" s="156" t="s">
        <v>567</v>
      </c>
      <c r="D55" s="185" t="s">
        <v>421</v>
      </c>
      <c r="E55" s="159" t="s">
        <v>422</v>
      </c>
      <c r="F55" s="159" t="s">
        <v>578</v>
      </c>
      <c r="G55" s="159" t="s">
        <v>579</v>
      </c>
      <c r="H55" s="146">
        <v>43.0</v>
      </c>
      <c r="I55" s="160" t="s">
        <v>274</v>
      </c>
      <c r="J55" s="245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</row>
    <row r="56" ht="15.75" customHeight="1">
      <c r="A56" s="35"/>
      <c r="B56" s="146" t="s">
        <v>581</v>
      </c>
      <c r="C56" s="145" t="s">
        <v>567</v>
      </c>
      <c r="D56" s="185" t="s">
        <v>431</v>
      </c>
      <c r="E56" s="248" t="s">
        <v>582</v>
      </c>
      <c r="F56" s="249" t="s">
        <v>583</v>
      </c>
      <c r="G56" s="147" t="s">
        <v>584</v>
      </c>
      <c r="H56" s="146">
        <v>44.0</v>
      </c>
      <c r="I56" s="148" t="s">
        <v>287</v>
      </c>
      <c r="J56" s="14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35"/>
      <c r="B57" s="146" t="s">
        <v>585</v>
      </c>
      <c r="C57" s="145" t="s">
        <v>567</v>
      </c>
      <c r="D57" s="187" t="s">
        <v>62</v>
      </c>
      <c r="E57" s="193" t="s">
        <v>586</v>
      </c>
      <c r="F57" s="147" t="s">
        <v>587</v>
      </c>
      <c r="G57" s="147" t="s">
        <v>78</v>
      </c>
      <c r="H57" s="146">
        <v>45.0</v>
      </c>
      <c r="I57" s="148" t="s">
        <v>126</v>
      </c>
      <c r="J57" s="252" t="s">
        <v>588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35"/>
      <c r="B58" s="146" t="s">
        <v>589</v>
      </c>
      <c r="C58" s="145" t="s">
        <v>590</v>
      </c>
      <c r="D58" s="146" t="s">
        <v>442</v>
      </c>
      <c r="E58" s="147" t="s">
        <v>591</v>
      </c>
      <c r="F58" s="147" t="s">
        <v>592</v>
      </c>
      <c r="G58" s="147" t="s">
        <v>593</v>
      </c>
      <c r="H58" s="146">
        <v>46.0</v>
      </c>
      <c r="I58" s="148" t="s">
        <v>416</v>
      </c>
      <c r="J58" s="243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35"/>
      <c r="B59" s="146" t="s">
        <v>594</v>
      </c>
      <c r="C59" s="145" t="s">
        <v>590</v>
      </c>
      <c r="D59" s="146" t="s">
        <v>447</v>
      </c>
      <c r="E59" s="147" t="s">
        <v>595</v>
      </c>
      <c r="F59" s="147" t="s">
        <v>596</v>
      </c>
      <c r="G59" s="147" t="s">
        <v>597</v>
      </c>
      <c r="H59" s="146">
        <v>47.0</v>
      </c>
      <c r="I59" s="148" t="s">
        <v>598</v>
      </c>
      <c r="J59" s="14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35"/>
      <c r="B60" s="146" t="s">
        <v>599</v>
      </c>
      <c r="C60" s="145" t="s">
        <v>590</v>
      </c>
      <c r="D60" s="146" t="s">
        <v>453</v>
      </c>
      <c r="E60" s="147" t="s">
        <v>600</v>
      </c>
      <c r="F60" s="147" t="s">
        <v>601</v>
      </c>
      <c r="G60" s="147" t="s">
        <v>602</v>
      </c>
      <c r="H60" s="146">
        <v>48.0</v>
      </c>
      <c r="I60" s="148" t="s">
        <v>370</v>
      </c>
      <c r="J60" s="14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35"/>
      <c r="B61" s="146" t="s">
        <v>603</v>
      </c>
      <c r="C61" s="145" t="s">
        <v>590</v>
      </c>
      <c r="D61" s="146" t="s">
        <v>458</v>
      </c>
      <c r="E61" s="253" t="s">
        <v>604</v>
      </c>
      <c r="F61" s="249" t="s">
        <v>461</v>
      </c>
      <c r="G61" s="147" t="s">
        <v>605</v>
      </c>
      <c r="H61" s="146">
        <v>49.0</v>
      </c>
      <c r="I61" s="148" t="s">
        <v>287</v>
      </c>
      <c r="J61" s="14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35"/>
      <c r="B62" s="146" t="s">
        <v>606</v>
      </c>
      <c r="C62" s="145" t="s">
        <v>590</v>
      </c>
      <c r="D62" s="187" t="s">
        <v>62</v>
      </c>
      <c r="E62" s="193"/>
      <c r="F62" s="147" t="s">
        <v>596</v>
      </c>
      <c r="G62" s="147"/>
      <c r="H62" s="146"/>
      <c r="I62" s="148"/>
      <c r="J62" s="252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97"/>
      <c r="B63" s="99" t="s">
        <v>607</v>
      </c>
      <c r="C63" s="233" t="s">
        <v>608</v>
      </c>
      <c r="D63" s="98" t="s">
        <v>546</v>
      </c>
      <c r="E63" s="191" t="s">
        <v>548</v>
      </c>
      <c r="F63" s="191"/>
      <c r="G63" s="191" t="s">
        <v>550</v>
      </c>
      <c r="H63" s="103" t="s">
        <v>609</v>
      </c>
      <c r="I63" s="104" t="s">
        <v>610</v>
      </c>
      <c r="J63" s="236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35"/>
      <c r="B64" s="146" t="s">
        <v>611</v>
      </c>
      <c r="C64" s="145" t="s">
        <v>612</v>
      </c>
      <c r="D64" s="241">
        <v>78.0</v>
      </c>
      <c r="E64" s="193" t="s">
        <v>475</v>
      </c>
      <c r="F64" s="193" t="s">
        <v>613</v>
      </c>
      <c r="G64" s="193" t="s">
        <v>131</v>
      </c>
      <c r="H64" s="241">
        <v>51.0</v>
      </c>
      <c r="I64" s="242" t="s">
        <v>416</v>
      </c>
      <c r="J64" s="24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35"/>
      <c r="B65" s="146" t="s">
        <v>614</v>
      </c>
      <c r="C65" s="145" t="s">
        <v>612</v>
      </c>
      <c r="D65" s="146">
        <v>79.0</v>
      </c>
      <c r="E65" s="147" t="s">
        <v>615</v>
      </c>
      <c r="F65" s="147" t="s">
        <v>481</v>
      </c>
      <c r="G65" s="147" t="s">
        <v>483</v>
      </c>
      <c r="H65" s="146">
        <v>52.0</v>
      </c>
      <c r="I65" s="148" t="s">
        <v>598</v>
      </c>
      <c r="J65" s="14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35"/>
      <c r="B66" s="146" t="s">
        <v>616</v>
      </c>
      <c r="C66" s="145" t="s">
        <v>612</v>
      </c>
      <c r="D66" s="146" t="s">
        <v>486</v>
      </c>
      <c r="E66" s="147" t="s">
        <v>617</v>
      </c>
      <c r="F66" s="147" t="s">
        <v>618</v>
      </c>
      <c r="G66" s="147" t="s">
        <v>579</v>
      </c>
      <c r="H66" s="146">
        <v>53.0</v>
      </c>
      <c r="I66" s="148" t="s">
        <v>370</v>
      </c>
      <c r="J66" s="14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35"/>
      <c r="B67" s="146" t="s">
        <v>619</v>
      </c>
      <c r="C67" s="145" t="s">
        <v>612</v>
      </c>
      <c r="D67" s="146" t="s">
        <v>492</v>
      </c>
      <c r="E67" s="253" t="s">
        <v>620</v>
      </c>
      <c r="F67" s="249" t="s">
        <v>621</v>
      </c>
      <c r="G67" s="147" t="s">
        <v>622</v>
      </c>
      <c r="H67" s="146">
        <v>54.0</v>
      </c>
      <c r="I67" s="148" t="s">
        <v>287</v>
      </c>
      <c r="J67" s="14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35"/>
      <c r="B68" s="146" t="s">
        <v>623</v>
      </c>
      <c r="C68" s="145" t="s">
        <v>612</v>
      </c>
      <c r="D68" s="187" t="s">
        <v>62</v>
      </c>
      <c r="E68" s="193" t="s">
        <v>624</v>
      </c>
      <c r="F68" s="147" t="s">
        <v>618</v>
      </c>
      <c r="G68" s="147" t="s">
        <v>78</v>
      </c>
      <c r="H68" s="146">
        <v>55.0</v>
      </c>
      <c r="I68" s="148" t="s">
        <v>126</v>
      </c>
      <c r="J68" s="252" t="s">
        <v>625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35"/>
      <c r="B69" s="146" t="s">
        <v>626</v>
      </c>
      <c r="C69" s="145" t="s">
        <v>627</v>
      </c>
      <c r="D69" s="146" t="s">
        <v>503</v>
      </c>
      <c r="E69" s="147" t="s">
        <v>628</v>
      </c>
      <c r="F69" s="147" t="s">
        <v>629</v>
      </c>
      <c r="G69" s="147" t="s">
        <v>630</v>
      </c>
      <c r="H69" s="146">
        <v>56.0</v>
      </c>
      <c r="I69" s="148" t="s">
        <v>416</v>
      </c>
      <c r="J69" s="24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35"/>
      <c r="B70" s="146" t="s">
        <v>631</v>
      </c>
      <c r="C70" s="145" t="s">
        <v>627</v>
      </c>
      <c r="D70" s="146" t="s">
        <v>510</v>
      </c>
      <c r="E70" s="147" t="s">
        <v>632</v>
      </c>
      <c r="F70" s="147" t="s">
        <v>633</v>
      </c>
      <c r="G70" s="147" t="s">
        <v>513</v>
      </c>
      <c r="H70" s="146">
        <v>57.0</v>
      </c>
      <c r="I70" s="148" t="s">
        <v>598</v>
      </c>
      <c r="J70" s="14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35"/>
      <c r="B71" s="146" t="s">
        <v>634</v>
      </c>
      <c r="C71" s="145" t="s">
        <v>627</v>
      </c>
      <c r="D71" s="146" t="s">
        <v>516</v>
      </c>
      <c r="E71" s="147" t="s">
        <v>635</v>
      </c>
      <c r="F71" s="147" t="s">
        <v>636</v>
      </c>
      <c r="G71" s="147" t="s">
        <v>637</v>
      </c>
      <c r="H71" s="146">
        <v>58.0</v>
      </c>
      <c r="I71" s="148" t="s">
        <v>370</v>
      </c>
      <c r="J71" s="14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35"/>
      <c r="B72" s="146" t="s">
        <v>638</v>
      </c>
      <c r="C72" s="72" t="s">
        <v>627</v>
      </c>
      <c r="D72" s="146" t="s">
        <v>525</v>
      </c>
      <c r="E72" s="253" t="s">
        <v>639</v>
      </c>
      <c r="F72" s="254"/>
      <c r="G72" s="41" t="s">
        <v>640</v>
      </c>
      <c r="H72" s="146">
        <v>59.0</v>
      </c>
      <c r="I72" s="42" t="s">
        <v>287</v>
      </c>
      <c r="J72" s="4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35"/>
      <c r="B73" s="146" t="s">
        <v>641</v>
      </c>
      <c r="C73" s="72" t="s">
        <v>627</v>
      </c>
      <c r="D73" s="187" t="s">
        <v>62</v>
      </c>
      <c r="E73" s="41" t="s">
        <v>642</v>
      </c>
      <c r="F73" s="41" t="s">
        <v>633</v>
      </c>
      <c r="G73" s="41" t="s">
        <v>78</v>
      </c>
      <c r="H73" s="42">
        <v>60.0</v>
      </c>
      <c r="I73" s="42" t="s">
        <v>126</v>
      </c>
      <c r="J73" s="252" t="s">
        <v>643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255"/>
      <c r="B74" s="99" t="s">
        <v>644</v>
      </c>
      <c r="C74" s="256" t="s">
        <v>645</v>
      </c>
      <c r="D74" s="257" t="s">
        <v>554</v>
      </c>
      <c r="E74" s="191" t="s">
        <v>555</v>
      </c>
      <c r="F74" s="191"/>
      <c r="G74" s="191" t="s">
        <v>556</v>
      </c>
      <c r="H74" s="103" t="s">
        <v>646</v>
      </c>
      <c r="I74" s="104" t="s">
        <v>647</v>
      </c>
      <c r="J74" s="258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259"/>
      <c r="B75" s="146" t="s">
        <v>648</v>
      </c>
      <c r="C75" s="72" t="s">
        <v>308</v>
      </c>
      <c r="D75" s="37" t="s">
        <v>317</v>
      </c>
      <c r="E75" s="41" t="s">
        <v>543</v>
      </c>
      <c r="F75" s="41"/>
      <c r="G75" s="41" t="s">
        <v>544</v>
      </c>
      <c r="H75" s="194" t="s">
        <v>649</v>
      </c>
      <c r="I75" s="195" t="s">
        <v>564</v>
      </c>
      <c r="J75" s="4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260"/>
      <c r="B76" s="146" t="s">
        <v>650</v>
      </c>
      <c r="C76" s="72" t="s">
        <v>308</v>
      </c>
      <c r="D76" s="37" t="s">
        <v>546</v>
      </c>
      <c r="E76" s="41" t="s">
        <v>548</v>
      </c>
      <c r="F76" s="41"/>
      <c r="G76" s="41" t="s">
        <v>550</v>
      </c>
      <c r="H76" s="194" t="s">
        <v>651</v>
      </c>
      <c r="I76" s="195" t="s">
        <v>610</v>
      </c>
      <c r="J76" s="43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t="15.75" customHeight="1">
      <c r="A77" s="261"/>
      <c r="B77" s="146" t="s">
        <v>652</v>
      </c>
      <c r="C77" s="204" t="s">
        <v>560</v>
      </c>
      <c r="D77" s="205" t="s">
        <v>325</v>
      </c>
      <c r="E77" s="206" t="s">
        <v>653</v>
      </c>
      <c r="F77" s="7"/>
      <c r="G77" s="7"/>
      <c r="H77" s="7"/>
      <c r="I77" s="9"/>
      <c r="J77" s="209" t="s">
        <v>654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ht="15.75" customHeight="1">
      <c r="A78" s="9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9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9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9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9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9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9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9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9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9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9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9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9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9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262"/>
      <c r="B92" s="263"/>
      <c r="C92" s="263"/>
      <c r="D92" s="263"/>
      <c r="E92" s="10"/>
      <c r="F92" s="10"/>
      <c r="G92" s="10"/>
      <c r="H92" s="10"/>
      <c r="I92" s="263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262"/>
      <c r="B93" s="263"/>
      <c r="C93" s="263"/>
      <c r="D93" s="263"/>
      <c r="E93" s="10"/>
      <c r="F93" s="10"/>
      <c r="G93" s="10"/>
      <c r="H93" s="10"/>
      <c r="I93" s="263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262"/>
      <c r="B94" s="263"/>
      <c r="C94" s="263"/>
      <c r="D94" s="263"/>
      <c r="E94" s="10"/>
      <c r="F94" s="10"/>
      <c r="G94" s="10"/>
      <c r="H94" s="10"/>
      <c r="I94" s="263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262"/>
      <c r="B95" s="263"/>
      <c r="C95" s="263"/>
      <c r="D95" s="263"/>
      <c r="E95" s="10"/>
      <c r="F95" s="10"/>
      <c r="G95" s="10"/>
      <c r="H95" s="10"/>
      <c r="I95" s="263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262"/>
      <c r="B96" s="263"/>
      <c r="C96" s="263"/>
      <c r="D96" s="263"/>
      <c r="E96" s="10"/>
      <c r="F96" s="10"/>
      <c r="G96" s="10"/>
      <c r="H96" s="10"/>
      <c r="I96" s="263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262"/>
      <c r="B97" s="263"/>
      <c r="C97" s="263"/>
      <c r="D97" s="263"/>
      <c r="E97" s="10"/>
      <c r="F97" s="10"/>
      <c r="G97" s="10"/>
      <c r="H97" s="10"/>
      <c r="I97" s="263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262"/>
      <c r="B98" s="263"/>
      <c r="C98" s="263"/>
      <c r="D98" s="263"/>
      <c r="E98" s="10"/>
      <c r="F98" s="10"/>
      <c r="G98" s="10"/>
      <c r="H98" s="10"/>
      <c r="I98" s="263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262"/>
      <c r="B99" s="263"/>
      <c r="C99" s="263"/>
      <c r="D99" s="263"/>
      <c r="E99" s="10"/>
      <c r="F99" s="10"/>
      <c r="G99" s="10"/>
      <c r="H99" s="10"/>
      <c r="I99" s="263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262"/>
      <c r="B100" s="263"/>
      <c r="C100" s="263"/>
      <c r="D100" s="263"/>
      <c r="E100" s="10"/>
      <c r="F100" s="10"/>
      <c r="G100" s="10"/>
      <c r="H100" s="10"/>
      <c r="I100" s="263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262"/>
      <c r="B101" s="263"/>
      <c r="C101" s="263"/>
      <c r="D101" s="263"/>
      <c r="E101" s="10"/>
      <c r="F101" s="10"/>
      <c r="G101" s="10"/>
      <c r="H101" s="10"/>
      <c r="I101" s="263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262"/>
      <c r="B102" s="263"/>
      <c r="C102" s="263"/>
      <c r="D102" s="263"/>
      <c r="E102" s="10"/>
      <c r="F102" s="10"/>
      <c r="G102" s="10"/>
      <c r="H102" s="10"/>
      <c r="I102" s="263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262"/>
      <c r="B103" s="263"/>
      <c r="C103" s="263"/>
      <c r="D103" s="263"/>
      <c r="E103" s="10"/>
      <c r="F103" s="10"/>
      <c r="G103" s="10"/>
      <c r="H103" s="10"/>
      <c r="I103" s="263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262"/>
      <c r="B104" s="263"/>
      <c r="C104" s="263"/>
      <c r="D104" s="263"/>
      <c r="E104" s="10"/>
      <c r="F104" s="10"/>
      <c r="G104" s="10"/>
      <c r="H104" s="10"/>
      <c r="I104" s="263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262"/>
      <c r="B105" s="263"/>
      <c r="C105" s="263"/>
      <c r="D105" s="263"/>
      <c r="E105" s="10"/>
      <c r="F105" s="10"/>
      <c r="G105" s="10"/>
      <c r="H105" s="10"/>
      <c r="I105" s="263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262"/>
      <c r="B106" s="263"/>
      <c r="C106" s="263"/>
      <c r="D106" s="263"/>
      <c r="E106" s="10"/>
      <c r="F106" s="10"/>
      <c r="G106" s="10"/>
      <c r="H106" s="10"/>
      <c r="I106" s="26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262"/>
      <c r="B107" s="263"/>
      <c r="C107" s="263"/>
      <c r="D107" s="263"/>
      <c r="E107" s="10"/>
      <c r="F107" s="10"/>
      <c r="G107" s="10"/>
      <c r="H107" s="10"/>
      <c r="I107" s="263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262"/>
      <c r="B108" s="263"/>
      <c r="C108" s="263"/>
      <c r="D108" s="263"/>
      <c r="E108" s="10"/>
      <c r="F108" s="10"/>
      <c r="G108" s="10"/>
      <c r="H108" s="10"/>
      <c r="I108" s="263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262"/>
      <c r="B109" s="263"/>
      <c r="C109" s="263"/>
      <c r="D109" s="263"/>
      <c r="E109" s="10"/>
      <c r="F109" s="10"/>
      <c r="G109" s="10"/>
      <c r="H109" s="10"/>
      <c r="I109" s="263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262"/>
      <c r="B110" s="263"/>
      <c r="C110" s="263"/>
      <c r="D110" s="263"/>
      <c r="E110" s="10"/>
      <c r="F110" s="10"/>
      <c r="G110" s="10"/>
      <c r="H110" s="10"/>
      <c r="I110" s="263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262"/>
      <c r="B111" s="263"/>
      <c r="C111" s="263"/>
      <c r="D111" s="263"/>
      <c r="E111" s="10"/>
      <c r="F111" s="10"/>
      <c r="G111" s="10"/>
      <c r="H111" s="10"/>
      <c r="I111" s="263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262"/>
      <c r="B112" s="263"/>
      <c r="C112" s="263"/>
      <c r="D112" s="263"/>
      <c r="E112" s="10"/>
      <c r="F112" s="10"/>
      <c r="G112" s="10"/>
      <c r="H112" s="10"/>
      <c r="I112" s="263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262"/>
      <c r="B113" s="263"/>
      <c r="C113" s="263"/>
      <c r="D113" s="263"/>
      <c r="E113" s="10"/>
      <c r="F113" s="10"/>
      <c r="G113" s="10"/>
      <c r="H113" s="10"/>
      <c r="I113" s="26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262"/>
      <c r="B114" s="263"/>
      <c r="C114" s="263"/>
      <c r="D114" s="263"/>
      <c r="E114" s="10"/>
      <c r="F114" s="10"/>
      <c r="G114" s="10"/>
      <c r="H114" s="10"/>
      <c r="I114" s="26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262"/>
      <c r="B115" s="263"/>
      <c r="C115" s="263"/>
      <c r="D115" s="263"/>
      <c r="E115" s="10"/>
      <c r="F115" s="10"/>
      <c r="G115" s="10"/>
      <c r="H115" s="10"/>
      <c r="I115" s="26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262"/>
      <c r="B116" s="263"/>
      <c r="C116" s="263"/>
      <c r="D116" s="263"/>
      <c r="E116" s="10"/>
      <c r="F116" s="10"/>
      <c r="G116" s="10"/>
      <c r="H116" s="10"/>
      <c r="I116" s="26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262"/>
      <c r="B117" s="263"/>
      <c r="C117" s="263"/>
      <c r="D117" s="263"/>
      <c r="E117" s="10"/>
      <c r="F117" s="10"/>
      <c r="G117" s="10"/>
      <c r="H117" s="10"/>
      <c r="I117" s="26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262"/>
      <c r="B118" s="263"/>
      <c r="C118" s="263"/>
      <c r="D118" s="263"/>
      <c r="E118" s="10"/>
      <c r="F118" s="10"/>
      <c r="G118" s="10"/>
      <c r="H118" s="10"/>
      <c r="I118" s="26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262"/>
      <c r="B119" s="263"/>
      <c r="C119" s="263"/>
      <c r="D119" s="263"/>
      <c r="E119" s="10"/>
      <c r="F119" s="10"/>
      <c r="G119" s="10"/>
      <c r="H119" s="10"/>
      <c r="I119" s="26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262"/>
      <c r="B120" s="263"/>
      <c r="C120" s="263"/>
      <c r="D120" s="263"/>
      <c r="E120" s="10"/>
      <c r="F120" s="10"/>
      <c r="G120" s="10"/>
      <c r="H120" s="10"/>
      <c r="I120" s="26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262"/>
      <c r="B121" s="263"/>
      <c r="C121" s="263"/>
      <c r="D121" s="263"/>
      <c r="E121" s="10"/>
      <c r="F121" s="10"/>
      <c r="G121" s="10"/>
      <c r="H121" s="10"/>
      <c r="I121" s="26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262"/>
      <c r="B122" s="263"/>
      <c r="C122" s="263"/>
      <c r="D122" s="263"/>
      <c r="E122" s="10"/>
      <c r="F122" s="10"/>
      <c r="G122" s="10"/>
      <c r="H122" s="10"/>
      <c r="I122" s="26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262"/>
      <c r="B123" s="263"/>
      <c r="C123" s="263"/>
      <c r="D123" s="263"/>
      <c r="E123" s="10"/>
      <c r="F123" s="10"/>
      <c r="G123" s="10"/>
      <c r="H123" s="10"/>
      <c r="I123" s="26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262"/>
      <c r="B124" s="263"/>
      <c r="C124" s="263"/>
      <c r="D124" s="263"/>
      <c r="E124" s="10"/>
      <c r="F124" s="10"/>
      <c r="G124" s="10"/>
      <c r="H124" s="10"/>
      <c r="I124" s="26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262"/>
      <c r="B125" s="263"/>
      <c r="C125" s="263"/>
      <c r="D125" s="263"/>
      <c r="E125" s="10"/>
      <c r="F125" s="10"/>
      <c r="G125" s="10"/>
      <c r="H125" s="10"/>
      <c r="I125" s="26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262"/>
      <c r="B126" s="263"/>
      <c r="C126" s="263"/>
      <c r="D126" s="263"/>
      <c r="E126" s="10"/>
      <c r="F126" s="10"/>
      <c r="G126" s="10"/>
      <c r="H126" s="10"/>
      <c r="I126" s="26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262"/>
      <c r="B127" s="263"/>
      <c r="C127" s="263"/>
      <c r="D127" s="263"/>
      <c r="E127" s="10"/>
      <c r="F127" s="10"/>
      <c r="G127" s="10"/>
      <c r="H127" s="10"/>
      <c r="I127" s="26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262"/>
      <c r="B128" s="263"/>
      <c r="C128" s="263"/>
      <c r="D128" s="263"/>
      <c r="E128" s="10"/>
      <c r="F128" s="10"/>
      <c r="G128" s="10"/>
      <c r="H128" s="10"/>
      <c r="I128" s="26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262"/>
      <c r="B129" s="263"/>
      <c r="C129" s="263"/>
      <c r="D129" s="263"/>
      <c r="E129" s="10"/>
      <c r="F129" s="10"/>
      <c r="G129" s="10"/>
      <c r="H129" s="10"/>
      <c r="I129" s="26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262"/>
      <c r="B130" s="263"/>
      <c r="C130" s="263"/>
      <c r="D130" s="263"/>
      <c r="E130" s="10"/>
      <c r="F130" s="10"/>
      <c r="G130" s="10"/>
      <c r="H130" s="10"/>
      <c r="I130" s="26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262"/>
      <c r="B131" s="263"/>
      <c r="C131" s="263"/>
      <c r="D131" s="263"/>
      <c r="E131" s="10"/>
      <c r="F131" s="10"/>
      <c r="G131" s="10"/>
      <c r="H131" s="10"/>
      <c r="I131" s="26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262"/>
      <c r="B132" s="263"/>
      <c r="C132" s="263"/>
      <c r="D132" s="263"/>
      <c r="E132" s="10"/>
      <c r="F132" s="10"/>
      <c r="G132" s="10"/>
      <c r="H132" s="10"/>
      <c r="I132" s="26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262"/>
      <c r="B133" s="263"/>
      <c r="C133" s="263"/>
      <c r="D133" s="263"/>
      <c r="E133" s="10"/>
      <c r="F133" s="10"/>
      <c r="G133" s="10"/>
      <c r="H133" s="10"/>
      <c r="I133" s="26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262"/>
      <c r="B134" s="263"/>
      <c r="C134" s="263"/>
      <c r="D134" s="263"/>
      <c r="E134" s="10"/>
      <c r="F134" s="10"/>
      <c r="G134" s="10"/>
      <c r="H134" s="10"/>
      <c r="I134" s="26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262"/>
      <c r="B135" s="263"/>
      <c r="C135" s="263"/>
      <c r="D135" s="263"/>
      <c r="E135" s="10"/>
      <c r="F135" s="10"/>
      <c r="G135" s="10"/>
      <c r="H135" s="10"/>
      <c r="I135" s="26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262"/>
      <c r="B136" s="263"/>
      <c r="C136" s="263"/>
      <c r="D136" s="263"/>
      <c r="E136" s="10"/>
      <c r="F136" s="10"/>
      <c r="G136" s="10"/>
      <c r="H136" s="10"/>
      <c r="I136" s="26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262"/>
      <c r="B137" s="263"/>
      <c r="C137" s="263"/>
      <c r="D137" s="263"/>
      <c r="E137" s="10"/>
      <c r="F137" s="10"/>
      <c r="G137" s="10"/>
      <c r="H137" s="10"/>
      <c r="I137" s="26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262"/>
      <c r="B138" s="263"/>
      <c r="C138" s="263"/>
      <c r="D138" s="263"/>
      <c r="E138" s="10"/>
      <c r="F138" s="10"/>
      <c r="G138" s="10"/>
      <c r="H138" s="10"/>
      <c r="I138" s="26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262"/>
      <c r="B139" s="263"/>
      <c r="C139" s="263"/>
      <c r="D139" s="263"/>
      <c r="E139" s="10"/>
      <c r="F139" s="10"/>
      <c r="G139" s="10"/>
      <c r="H139" s="10"/>
      <c r="I139" s="26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262"/>
      <c r="B140" s="263"/>
      <c r="C140" s="263"/>
      <c r="D140" s="263"/>
      <c r="E140" s="10"/>
      <c r="F140" s="10"/>
      <c r="G140" s="10"/>
      <c r="H140" s="10"/>
      <c r="I140" s="26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262"/>
      <c r="B141" s="263"/>
      <c r="C141" s="263"/>
      <c r="D141" s="263"/>
      <c r="E141" s="10"/>
      <c r="F141" s="10"/>
      <c r="G141" s="10"/>
      <c r="H141" s="10"/>
      <c r="I141" s="26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262"/>
      <c r="B142" s="263"/>
      <c r="C142" s="263"/>
      <c r="D142" s="263"/>
      <c r="E142" s="10"/>
      <c r="F142" s="10"/>
      <c r="G142" s="10"/>
      <c r="H142" s="10"/>
      <c r="I142" s="26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262"/>
      <c r="B143" s="263"/>
      <c r="C143" s="263"/>
      <c r="D143" s="263"/>
      <c r="E143" s="10"/>
      <c r="F143" s="10"/>
      <c r="G143" s="10"/>
      <c r="H143" s="10"/>
      <c r="I143" s="26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262"/>
      <c r="B144" s="263"/>
      <c r="C144" s="263"/>
      <c r="D144" s="263"/>
      <c r="E144" s="10"/>
      <c r="F144" s="10"/>
      <c r="G144" s="10"/>
      <c r="H144" s="10"/>
      <c r="I144" s="26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262"/>
      <c r="B145" s="263"/>
      <c r="C145" s="263"/>
      <c r="D145" s="263"/>
      <c r="E145" s="10"/>
      <c r="F145" s="10"/>
      <c r="G145" s="10"/>
      <c r="H145" s="10"/>
      <c r="I145" s="26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262"/>
      <c r="B146" s="263"/>
      <c r="C146" s="263"/>
      <c r="D146" s="263"/>
      <c r="E146" s="10"/>
      <c r="F146" s="10"/>
      <c r="G146" s="10"/>
      <c r="H146" s="10"/>
      <c r="I146" s="26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262"/>
      <c r="B147" s="263"/>
      <c r="C147" s="263"/>
      <c r="D147" s="263"/>
      <c r="E147" s="10"/>
      <c r="F147" s="10"/>
      <c r="G147" s="10"/>
      <c r="H147" s="10"/>
      <c r="I147" s="26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262"/>
      <c r="B148" s="263"/>
      <c r="C148" s="263"/>
      <c r="D148" s="263"/>
      <c r="E148" s="10"/>
      <c r="F148" s="10"/>
      <c r="G148" s="10"/>
      <c r="H148" s="10"/>
      <c r="I148" s="26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262"/>
      <c r="B149" s="263"/>
      <c r="C149" s="263"/>
      <c r="D149" s="263"/>
      <c r="E149" s="10"/>
      <c r="F149" s="10"/>
      <c r="G149" s="10"/>
      <c r="H149" s="10"/>
      <c r="I149" s="26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262"/>
      <c r="B150" s="263"/>
      <c r="C150" s="263"/>
      <c r="D150" s="263"/>
      <c r="E150" s="10"/>
      <c r="F150" s="10"/>
      <c r="G150" s="10"/>
      <c r="H150" s="10"/>
      <c r="I150" s="26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262"/>
      <c r="B151" s="263"/>
      <c r="C151" s="263"/>
      <c r="D151" s="263"/>
      <c r="E151" s="10"/>
      <c r="F151" s="10"/>
      <c r="G151" s="10"/>
      <c r="H151" s="10"/>
      <c r="I151" s="26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262"/>
      <c r="B152" s="263"/>
      <c r="C152" s="263"/>
      <c r="D152" s="263"/>
      <c r="E152" s="10"/>
      <c r="F152" s="10"/>
      <c r="G152" s="10"/>
      <c r="H152" s="10"/>
      <c r="I152" s="26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262"/>
      <c r="B153" s="263"/>
      <c r="C153" s="263"/>
      <c r="D153" s="263"/>
      <c r="E153" s="10"/>
      <c r="F153" s="10"/>
      <c r="G153" s="10"/>
      <c r="H153" s="10"/>
      <c r="I153" s="26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262"/>
      <c r="B154" s="263"/>
      <c r="C154" s="263"/>
      <c r="D154" s="263"/>
      <c r="E154" s="10"/>
      <c r="F154" s="10"/>
      <c r="G154" s="10"/>
      <c r="H154" s="10"/>
      <c r="I154" s="26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262"/>
      <c r="B155" s="263"/>
      <c r="C155" s="263"/>
      <c r="D155" s="263"/>
      <c r="E155" s="10"/>
      <c r="F155" s="10"/>
      <c r="G155" s="10"/>
      <c r="H155" s="10"/>
      <c r="I155" s="26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262"/>
      <c r="B156" s="263"/>
      <c r="C156" s="263"/>
      <c r="D156" s="263"/>
      <c r="E156" s="10"/>
      <c r="F156" s="10"/>
      <c r="G156" s="10"/>
      <c r="H156" s="10"/>
      <c r="I156" s="26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262"/>
      <c r="B157" s="263"/>
      <c r="C157" s="263"/>
      <c r="D157" s="263"/>
      <c r="E157" s="10"/>
      <c r="F157" s="10"/>
      <c r="G157" s="10"/>
      <c r="H157" s="10"/>
      <c r="I157" s="26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262"/>
      <c r="B158" s="263"/>
      <c r="C158" s="263"/>
      <c r="D158" s="263"/>
      <c r="E158" s="10"/>
      <c r="F158" s="10"/>
      <c r="G158" s="10"/>
      <c r="H158" s="10"/>
      <c r="I158" s="26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262"/>
      <c r="B159" s="263"/>
      <c r="C159" s="263"/>
      <c r="D159" s="263"/>
      <c r="E159" s="10"/>
      <c r="F159" s="10"/>
      <c r="G159" s="10"/>
      <c r="H159" s="10"/>
      <c r="I159" s="26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262"/>
      <c r="B160" s="263"/>
      <c r="C160" s="263"/>
      <c r="D160" s="263"/>
      <c r="E160" s="10"/>
      <c r="F160" s="10"/>
      <c r="G160" s="10"/>
      <c r="H160" s="10"/>
      <c r="I160" s="26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262"/>
      <c r="B161" s="263"/>
      <c r="C161" s="263"/>
      <c r="D161" s="263"/>
      <c r="E161" s="10"/>
      <c r="F161" s="10"/>
      <c r="G161" s="10"/>
      <c r="H161" s="10"/>
      <c r="I161" s="26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262"/>
      <c r="B162" s="263"/>
      <c r="C162" s="263"/>
      <c r="D162" s="263"/>
      <c r="E162" s="10"/>
      <c r="F162" s="10"/>
      <c r="G162" s="10"/>
      <c r="H162" s="10"/>
      <c r="I162" s="26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262"/>
      <c r="B163" s="263"/>
      <c r="C163" s="263"/>
      <c r="D163" s="263"/>
      <c r="E163" s="10"/>
      <c r="F163" s="10"/>
      <c r="G163" s="10"/>
      <c r="H163" s="10"/>
      <c r="I163" s="26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262"/>
      <c r="B164" s="263"/>
      <c r="C164" s="263"/>
      <c r="D164" s="263"/>
      <c r="E164" s="10"/>
      <c r="F164" s="10"/>
      <c r="G164" s="10"/>
      <c r="H164" s="10"/>
      <c r="I164" s="26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262"/>
      <c r="B165" s="263"/>
      <c r="C165" s="263"/>
      <c r="D165" s="263"/>
      <c r="E165" s="10"/>
      <c r="F165" s="10"/>
      <c r="G165" s="10"/>
      <c r="H165" s="10"/>
      <c r="I165" s="26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262"/>
      <c r="B166" s="263"/>
      <c r="C166" s="263"/>
      <c r="D166" s="263"/>
      <c r="E166" s="10"/>
      <c r="F166" s="10"/>
      <c r="G166" s="10"/>
      <c r="H166" s="10"/>
      <c r="I166" s="26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262"/>
      <c r="B167" s="263"/>
      <c r="C167" s="263"/>
      <c r="D167" s="263"/>
      <c r="E167" s="10"/>
      <c r="F167" s="10"/>
      <c r="G167" s="10"/>
      <c r="H167" s="10"/>
      <c r="I167" s="26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262"/>
      <c r="B168" s="263"/>
      <c r="C168" s="263"/>
      <c r="D168" s="263"/>
      <c r="E168" s="10"/>
      <c r="F168" s="10"/>
      <c r="G168" s="10"/>
      <c r="H168" s="10"/>
      <c r="I168" s="26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262"/>
      <c r="B169" s="263"/>
      <c r="C169" s="263"/>
      <c r="D169" s="263"/>
      <c r="E169" s="10"/>
      <c r="F169" s="10"/>
      <c r="G169" s="10"/>
      <c r="H169" s="10"/>
      <c r="I169" s="26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262"/>
      <c r="B170" s="263"/>
      <c r="C170" s="263"/>
      <c r="D170" s="263"/>
      <c r="E170" s="10"/>
      <c r="F170" s="10"/>
      <c r="G170" s="10"/>
      <c r="H170" s="10"/>
      <c r="I170" s="26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262"/>
      <c r="B171" s="263"/>
      <c r="C171" s="263"/>
      <c r="D171" s="263"/>
      <c r="E171" s="10"/>
      <c r="F171" s="10"/>
      <c r="G171" s="10"/>
      <c r="H171" s="10"/>
      <c r="I171" s="26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262"/>
      <c r="B172" s="263"/>
      <c r="C172" s="263"/>
      <c r="D172" s="263"/>
      <c r="E172" s="10"/>
      <c r="F172" s="10"/>
      <c r="G172" s="10"/>
      <c r="H172" s="10"/>
      <c r="I172" s="26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262"/>
      <c r="B173" s="263"/>
      <c r="C173" s="263"/>
      <c r="D173" s="263"/>
      <c r="E173" s="10"/>
      <c r="F173" s="10"/>
      <c r="G173" s="10"/>
      <c r="H173" s="10"/>
      <c r="I173" s="26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262"/>
      <c r="B174" s="263"/>
      <c r="C174" s="263"/>
      <c r="D174" s="263"/>
      <c r="E174" s="10"/>
      <c r="F174" s="10"/>
      <c r="G174" s="10"/>
      <c r="H174" s="10"/>
      <c r="I174" s="26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262"/>
      <c r="B175" s="263"/>
      <c r="C175" s="263"/>
      <c r="D175" s="263"/>
      <c r="E175" s="10"/>
      <c r="F175" s="10"/>
      <c r="G175" s="10"/>
      <c r="H175" s="10"/>
      <c r="I175" s="26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262"/>
      <c r="B176" s="263"/>
      <c r="C176" s="263"/>
      <c r="D176" s="263"/>
      <c r="E176" s="10"/>
      <c r="F176" s="10"/>
      <c r="G176" s="10"/>
      <c r="H176" s="10"/>
      <c r="I176" s="26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262"/>
      <c r="B177" s="263"/>
      <c r="C177" s="263"/>
      <c r="D177" s="263"/>
      <c r="E177" s="10"/>
      <c r="F177" s="10"/>
      <c r="G177" s="10"/>
      <c r="H177" s="10"/>
      <c r="I177" s="26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262"/>
      <c r="B178" s="263"/>
      <c r="C178" s="263"/>
      <c r="D178" s="263"/>
      <c r="E178" s="10"/>
      <c r="F178" s="10"/>
      <c r="G178" s="10"/>
      <c r="H178" s="10"/>
      <c r="I178" s="26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262"/>
      <c r="B179" s="263"/>
      <c r="C179" s="263"/>
      <c r="D179" s="263"/>
      <c r="E179" s="10"/>
      <c r="F179" s="10"/>
      <c r="G179" s="10"/>
      <c r="H179" s="10"/>
      <c r="I179" s="26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262"/>
      <c r="B180" s="263"/>
      <c r="C180" s="263"/>
      <c r="D180" s="263"/>
      <c r="E180" s="10"/>
      <c r="F180" s="10"/>
      <c r="G180" s="10"/>
      <c r="H180" s="10"/>
      <c r="I180" s="26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262"/>
      <c r="B181" s="263"/>
      <c r="C181" s="263"/>
      <c r="D181" s="263"/>
      <c r="E181" s="10"/>
      <c r="F181" s="10"/>
      <c r="G181" s="10"/>
      <c r="H181" s="10"/>
      <c r="I181" s="26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262"/>
      <c r="B182" s="263"/>
      <c r="C182" s="263"/>
      <c r="D182" s="263"/>
      <c r="E182" s="10"/>
      <c r="F182" s="10"/>
      <c r="G182" s="10"/>
      <c r="H182" s="10"/>
      <c r="I182" s="26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262"/>
      <c r="B183" s="263"/>
      <c r="C183" s="263"/>
      <c r="D183" s="263"/>
      <c r="E183" s="10"/>
      <c r="F183" s="10"/>
      <c r="G183" s="10"/>
      <c r="H183" s="10"/>
      <c r="I183" s="26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262"/>
      <c r="B184" s="263"/>
      <c r="C184" s="263"/>
      <c r="D184" s="263"/>
      <c r="E184" s="10"/>
      <c r="F184" s="10"/>
      <c r="G184" s="10"/>
      <c r="H184" s="10"/>
      <c r="I184" s="26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262"/>
      <c r="B185" s="263"/>
      <c r="C185" s="263"/>
      <c r="D185" s="263"/>
      <c r="E185" s="10"/>
      <c r="F185" s="10"/>
      <c r="G185" s="10"/>
      <c r="H185" s="10"/>
      <c r="I185" s="26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262"/>
      <c r="B186" s="263"/>
      <c r="C186" s="263"/>
      <c r="D186" s="263"/>
      <c r="E186" s="10"/>
      <c r="F186" s="10"/>
      <c r="G186" s="10"/>
      <c r="H186" s="10"/>
      <c r="I186" s="26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262"/>
      <c r="B187" s="263"/>
      <c r="C187" s="263"/>
      <c r="D187" s="263"/>
      <c r="E187" s="10"/>
      <c r="F187" s="10"/>
      <c r="G187" s="10"/>
      <c r="H187" s="10"/>
      <c r="I187" s="26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262"/>
      <c r="B188" s="263"/>
      <c r="C188" s="263"/>
      <c r="D188" s="263"/>
      <c r="E188" s="10"/>
      <c r="F188" s="10"/>
      <c r="G188" s="10"/>
      <c r="H188" s="10"/>
      <c r="I188" s="26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262"/>
      <c r="B189" s="263"/>
      <c r="C189" s="263"/>
      <c r="D189" s="263"/>
      <c r="E189" s="10"/>
      <c r="F189" s="10"/>
      <c r="G189" s="10"/>
      <c r="H189" s="10"/>
      <c r="I189" s="26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262"/>
      <c r="B190" s="263"/>
      <c r="C190" s="263"/>
      <c r="D190" s="263"/>
      <c r="E190" s="10"/>
      <c r="F190" s="10"/>
      <c r="G190" s="10"/>
      <c r="H190" s="10"/>
      <c r="I190" s="26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262"/>
      <c r="B191" s="263"/>
      <c r="C191" s="263"/>
      <c r="D191" s="263"/>
      <c r="E191" s="10"/>
      <c r="F191" s="10"/>
      <c r="G191" s="10"/>
      <c r="H191" s="10"/>
      <c r="I191" s="26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262"/>
      <c r="B192" s="263"/>
      <c r="C192" s="263"/>
      <c r="D192" s="263"/>
      <c r="E192" s="10"/>
      <c r="F192" s="10"/>
      <c r="G192" s="10"/>
      <c r="H192" s="10"/>
      <c r="I192" s="26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262"/>
      <c r="B193" s="263"/>
      <c r="C193" s="263"/>
      <c r="D193" s="263"/>
      <c r="E193" s="10"/>
      <c r="F193" s="10"/>
      <c r="G193" s="10"/>
      <c r="H193" s="10"/>
      <c r="I193" s="26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262"/>
      <c r="B194" s="263"/>
      <c r="C194" s="263"/>
      <c r="D194" s="263"/>
      <c r="E194" s="10"/>
      <c r="F194" s="10"/>
      <c r="G194" s="10"/>
      <c r="H194" s="10"/>
      <c r="I194" s="26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262"/>
      <c r="B195" s="263"/>
      <c r="C195" s="263"/>
      <c r="D195" s="263"/>
      <c r="E195" s="10"/>
      <c r="F195" s="10"/>
      <c r="G195" s="10"/>
      <c r="H195" s="10"/>
      <c r="I195" s="26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262"/>
      <c r="B196" s="263"/>
      <c r="C196" s="263"/>
      <c r="D196" s="263"/>
      <c r="E196" s="10"/>
      <c r="F196" s="10"/>
      <c r="G196" s="10"/>
      <c r="H196" s="10"/>
      <c r="I196" s="26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262"/>
      <c r="B197" s="263"/>
      <c r="C197" s="263"/>
      <c r="D197" s="263"/>
      <c r="E197" s="10"/>
      <c r="F197" s="10"/>
      <c r="G197" s="10"/>
      <c r="H197" s="10"/>
      <c r="I197" s="26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262"/>
      <c r="B198" s="263"/>
      <c r="C198" s="263"/>
      <c r="D198" s="263"/>
      <c r="E198" s="10"/>
      <c r="F198" s="10"/>
      <c r="G198" s="10"/>
      <c r="H198" s="10"/>
      <c r="I198" s="26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262"/>
      <c r="B199" s="263"/>
      <c r="C199" s="263"/>
      <c r="D199" s="263"/>
      <c r="E199" s="10"/>
      <c r="F199" s="10"/>
      <c r="G199" s="10"/>
      <c r="H199" s="10"/>
      <c r="I199" s="26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262"/>
      <c r="B200" s="263"/>
      <c r="C200" s="263"/>
      <c r="D200" s="263"/>
      <c r="E200" s="10"/>
      <c r="F200" s="10"/>
      <c r="G200" s="10"/>
      <c r="H200" s="10"/>
      <c r="I200" s="26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262"/>
      <c r="B201" s="263"/>
      <c r="C201" s="263"/>
      <c r="D201" s="263"/>
      <c r="E201" s="10"/>
      <c r="F201" s="10"/>
      <c r="G201" s="10"/>
      <c r="H201" s="10"/>
      <c r="I201" s="26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262"/>
      <c r="B202" s="263"/>
      <c r="C202" s="263"/>
      <c r="D202" s="263"/>
      <c r="E202" s="10"/>
      <c r="F202" s="10"/>
      <c r="G202" s="10"/>
      <c r="H202" s="10"/>
      <c r="I202" s="26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262"/>
      <c r="B203" s="263"/>
      <c r="C203" s="263"/>
      <c r="D203" s="263"/>
      <c r="E203" s="10"/>
      <c r="F203" s="10"/>
      <c r="G203" s="10"/>
      <c r="H203" s="10"/>
      <c r="I203" s="26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262"/>
      <c r="B204" s="263"/>
      <c r="C204" s="263"/>
      <c r="D204" s="263"/>
      <c r="E204" s="10"/>
      <c r="F204" s="10"/>
      <c r="G204" s="10"/>
      <c r="H204" s="10"/>
      <c r="I204" s="26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262"/>
      <c r="B205" s="263"/>
      <c r="C205" s="263"/>
      <c r="D205" s="263"/>
      <c r="E205" s="10"/>
      <c r="F205" s="10"/>
      <c r="G205" s="10"/>
      <c r="H205" s="10"/>
      <c r="I205" s="26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262"/>
      <c r="B206" s="263"/>
      <c r="C206" s="263"/>
      <c r="D206" s="263"/>
      <c r="E206" s="10"/>
      <c r="F206" s="10"/>
      <c r="G206" s="10"/>
      <c r="H206" s="10"/>
      <c r="I206" s="26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262"/>
      <c r="B207" s="263"/>
      <c r="C207" s="263"/>
      <c r="D207" s="263"/>
      <c r="E207" s="10"/>
      <c r="F207" s="10"/>
      <c r="G207" s="10"/>
      <c r="H207" s="10"/>
      <c r="I207" s="26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262"/>
      <c r="B208" s="263"/>
      <c r="C208" s="263"/>
      <c r="D208" s="263"/>
      <c r="E208" s="10"/>
      <c r="F208" s="10"/>
      <c r="G208" s="10"/>
      <c r="H208" s="10"/>
      <c r="I208" s="26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262"/>
      <c r="B209" s="263"/>
      <c r="C209" s="263"/>
      <c r="D209" s="263"/>
      <c r="E209" s="10"/>
      <c r="F209" s="10"/>
      <c r="G209" s="10"/>
      <c r="H209" s="10"/>
      <c r="I209" s="26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262"/>
      <c r="B210" s="263"/>
      <c r="C210" s="263"/>
      <c r="D210" s="263"/>
      <c r="E210" s="10"/>
      <c r="F210" s="10"/>
      <c r="G210" s="10"/>
      <c r="H210" s="10"/>
      <c r="I210" s="26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262"/>
      <c r="B211" s="263"/>
      <c r="C211" s="263"/>
      <c r="D211" s="263"/>
      <c r="E211" s="10"/>
      <c r="F211" s="10"/>
      <c r="G211" s="10"/>
      <c r="H211" s="10"/>
      <c r="I211" s="26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262"/>
      <c r="B212" s="263"/>
      <c r="C212" s="263"/>
      <c r="D212" s="263"/>
      <c r="E212" s="10"/>
      <c r="F212" s="10"/>
      <c r="G212" s="10"/>
      <c r="H212" s="10"/>
      <c r="I212" s="26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262"/>
      <c r="B213" s="263"/>
      <c r="C213" s="263"/>
      <c r="D213" s="263"/>
      <c r="E213" s="10"/>
      <c r="F213" s="10"/>
      <c r="G213" s="10"/>
      <c r="H213" s="10"/>
      <c r="I213" s="26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262"/>
      <c r="B214" s="263"/>
      <c r="C214" s="263"/>
      <c r="D214" s="263"/>
      <c r="E214" s="10"/>
      <c r="F214" s="10"/>
      <c r="G214" s="10"/>
      <c r="H214" s="10"/>
      <c r="I214" s="26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262"/>
      <c r="B215" s="263"/>
      <c r="C215" s="263"/>
      <c r="D215" s="263"/>
      <c r="E215" s="10"/>
      <c r="F215" s="10"/>
      <c r="G215" s="10"/>
      <c r="H215" s="10"/>
      <c r="I215" s="26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262"/>
      <c r="B216" s="263"/>
      <c r="C216" s="263"/>
      <c r="D216" s="263"/>
      <c r="E216" s="10"/>
      <c r="F216" s="10"/>
      <c r="G216" s="10"/>
      <c r="H216" s="10"/>
      <c r="I216" s="26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262"/>
      <c r="B217" s="263"/>
      <c r="C217" s="263"/>
      <c r="D217" s="263"/>
      <c r="E217" s="10"/>
      <c r="F217" s="10"/>
      <c r="G217" s="10"/>
      <c r="H217" s="10"/>
      <c r="I217" s="26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262"/>
      <c r="B218" s="263"/>
      <c r="C218" s="263"/>
      <c r="D218" s="263"/>
      <c r="E218" s="10"/>
      <c r="F218" s="10"/>
      <c r="G218" s="10"/>
      <c r="H218" s="10"/>
      <c r="I218" s="26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262"/>
      <c r="B219" s="263"/>
      <c r="C219" s="263"/>
      <c r="D219" s="263"/>
      <c r="E219" s="10"/>
      <c r="F219" s="10"/>
      <c r="G219" s="10"/>
      <c r="H219" s="10"/>
      <c r="I219" s="26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262"/>
      <c r="B220" s="263"/>
      <c r="C220" s="263"/>
      <c r="D220" s="263"/>
      <c r="E220" s="10"/>
      <c r="F220" s="10"/>
      <c r="G220" s="10"/>
      <c r="H220" s="10"/>
      <c r="I220" s="26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262"/>
      <c r="B221" s="263"/>
      <c r="C221" s="263"/>
      <c r="D221" s="263"/>
      <c r="E221" s="10"/>
      <c r="F221" s="10"/>
      <c r="G221" s="10"/>
      <c r="H221" s="10"/>
      <c r="I221" s="26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262"/>
      <c r="B222" s="263"/>
      <c r="C222" s="263"/>
      <c r="D222" s="263"/>
      <c r="E222" s="10"/>
      <c r="F222" s="10"/>
      <c r="G222" s="10"/>
      <c r="H222" s="10"/>
      <c r="I222" s="26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262"/>
      <c r="B223" s="263"/>
      <c r="C223" s="263"/>
      <c r="D223" s="263"/>
      <c r="E223" s="10"/>
      <c r="F223" s="10"/>
      <c r="G223" s="10"/>
      <c r="H223" s="10"/>
      <c r="I223" s="26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262"/>
      <c r="B224" s="263"/>
      <c r="C224" s="263"/>
      <c r="D224" s="263"/>
      <c r="E224" s="10"/>
      <c r="F224" s="10"/>
      <c r="G224" s="10"/>
      <c r="H224" s="10"/>
      <c r="I224" s="26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262"/>
      <c r="B225" s="263"/>
      <c r="C225" s="263"/>
      <c r="D225" s="263"/>
      <c r="E225" s="10"/>
      <c r="F225" s="10"/>
      <c r="G225" s="10"/>
      <c r="H225" s="10"/>
      <c r="I225" s="26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262"/>
      <c r="B226" s="263"/>
      <c r="C226" s="263"/>
      <c r="D226" s="263"/>
      <c r="E226" s="10"/>
      <c r="F226" s="10"/>
      <c r="G226" s="10"/>
      <c r="H226" s="10"/>
      <c r="I226" s="26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262"/>
      <c r="B227" s="263"/>
      <c r="C227" s="263"/>
      <c r="D227" s="263"/>
      <c r="E227" s="10"/>
      <c r="F227" s="10"/>
      <c r="G227" s="10"/>
      <c r="H227" s="10"/>
      <c r="I227" s="26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262"/>
      <c r="B228" s="263"/>
      <c r="C228" s="263"/>
      <c r="D228" s="263"/>
      <c r="E228" s="10"/>
      <c r="F228" s="10"/>
      <c r="G228" s="10"/>
      <c r="H228" s="10"/>
      <c r="I228" s="26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262"/>
      <c r="B229" s="263"/>
      <c r="C229" s="263"/>
      <c r="D229" s="263"/>
      <c r="E229" s="10"/>
      <c r="F229" s="10"/>
      <c r="G229" s="10"/>
      <c r="H229" s="10"/>
      <c r="I229" s="26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262"/>
      <c r="B230" s="263"/>
      <c r="C230" s="263"/>
      <c r="D230" s="263"/>
      <c r="E230" s="10"/>
      <c r="F230" s="10"/>
      <c r="G230" s="10"/>
      <c r="H230" s="10"/>
      <c r="I230" s="26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262"/>
      <c r="B231" s="263"/>
      <c r="C231" s="263"/>
      <c r="D231" s="263"/>
      <c r="E231" s="10"/>
      <c r="F231" s="10"/>
      <c r="G231" s="10"/>
      <c r="H231" s="10"/>
      <c r="I231" s="26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262"/>
      <c r="B232" s="263"/>
      <c r="C232" s="263"/>
      <c r="D232" s="263"/>
      <c r="E232" s="10"/>
      <c r="F232" s="10"/>
      <c r="G232" s="10"/>
      <c r="H232" s="10"/>
      <c r="I232" s="26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262"/>
      <c r="B233" s="263"/>
      <c r="C233" s="263"/>
      <c r="D233" s="263"/>
      <c r="E233" s="10"/>
      <c r="F233" s="10"/>
      <c r="G233" s="10"/>
      <c r="H233" s="10"/>
      <c r="I233" s="26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262"/>
      <c r="B234" s="263"/>
      <c r="C234" s="263"/>
      <c r="D234" s="263"/>
      <c r="E234" s="10"/>
      <c r="F234" s="10"/>
      <c r="G234" s="10"/>
      <c r="H234" s="10"/>
      <c r="I234" s="26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262"/>
      <c r="B235" s="263"/>
      <c r="C235" s="263"/>
      <c r="D235" s="263"/>
      <c r="E235" s="10"/>
      <c r="F235" s="10"/>
      <c r="G235" s="10"/>
      <c r="H235" s="10"/>
      <c r="I235" s="26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262"/>
      <c r="B236" s="263"/>
      <c r="C236" s="263"/>
      <c r="D236" s="263"/>
      <c r="E236" s="10"/>
      <c r="F236" s="10"/>
      <c r="G236" s="10"/>
      <c r="H236" s="10"/>
      <c r="I236" s="26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262"/>
      <c r="B237" s="263"/>
      <c r="C237" s="263"/>
      <c r="D237" s="263"/>
      <c r="E237" s="10"/>
      <c r="F237" s="10"/>
      <c r="G237" s="10"/>
      <c r="H237" s="10"/>
      <c r="I237" s="26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262"/>
      <c r="B238" s="263"/>
      <c r="C238" s="263"/>
      <c r="D238" s="263"/>
      <c r="E238" s="10"/>
      <c r="F238" s="10"/>
      <c r="G238" s="10"/>
      <c r="H238" s="10"/>
      <c r="I238" s="26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262"/>
      <c r="B239" s="263"/>
      <c r="C239" s="263"/>
      <c r="D239" s="263"/>
      <c r="E239" s="10"/>
      <c r="F239" s="10"/>
      <c r="G239" s="10"/>
      <c r="H239" s="10"/>
      <c r="I239" s="26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262"/>
      <c r="B240" s="263"/>
      <c r="C240" s="263"/>
      <c r="D240" s="263"/>
      <c r="E240" s="10"/>
      <c r="F240" s="10"/>
      <c r="G240" s="10"/>
      <c r="H240" s="10"/>
      <c r="I240" s="26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262"/>
      <c r="B241" s="263"/>
      <c r="C241" s="263"/>
      <c r="D241" s="263"/>
      <c r="E241" s="10"/>
      <c r="F241" s="10"/>
      <c r="G241" s="10"/>
      <c r="H241" s="10"/>
      <c r="I241" s="26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262"/>
      <c r="B242" s="263"/>
      <c r="C242" s="263"/>
      <c r="D242" s="263"/>
      <c r="E242" s="10"/>
      <c r="F242" s="10"/>
      <c r="G242" s="10"/>
      <c r="H242" s="10"/>
      <c r="I242" s="26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262"/>
      <c r="B243" s="263"/>
      <c r="C243" s="263"/>
      <c r="D243" s="263"/>
      <c r="E243" s="10"/>
      <c r="F243" s="10"/>
      <c r="G243" s="10"/>
      <c r="H243" s="10"/>
      <c r="I243" s="26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262"/>
      <c r="B244" s="263"/>
      <c r="C244" s="263"/>
      <c r="D244" s="263"/>
      <c r="E244" s="10"/>
      <c r="F244" s="10"/>
      <c r="G244" s="10"/>
      <c r="H244" s="10"/>
      <c r="I244" s="26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262"/>
      <c r="B245" s="263"/>
      <c r="C245" s="263"/>
      <c r="D245" s="263"/>
      <c r="E245" s="10"/>
      <c r="F245" s="10"/>
      <c r="G245" s="10"/>
      <c r="H245" s="10"/>
      <c r="I245" s="26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262"/>
      <c r="B246" s="263"/>
      <c r="C246" s="263"/>
      <c r="D246" s="263"/>
      <c r="E246" s="10"/>
      <c r="F246" s="10"/>
      <c r="G246" s="10"/>
      <c r="H246" s="10"/>
      <c r="I246" s="26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262"/>
      <c r="B247" s="263"/>
      <c r="C247" s="263"/>
      <c r="D247" s="263"/>
      <c r="E247" s="10"/>
      <c r="F247" s="10"/>
      <c r="G247" s="10"/>
      <c r="H247" s="10"/>
      <c r="I247" s="26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262"/>
      <c r="B248" s="263"/>
      <c r="C248" s="263"/>
      <c r="D248" s="263"/>
      <c r="E248" s="10"/>
      <c r="F248" s="10"/>
      <c r="G248" s="10"/>
      <c r="H248" s="10"/>
      <c r="I248" s="26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262"/>
      <c r="B249" s="263"/>
      <c r="C249" s="263"/>
      <c r="D249" s="263"/>
      <c r="E249" s="10"/>
      <c r="F249" s="10"/>
      <c r="G249" s="10"/>
      <c r="H249" s="10"/>
      <c r="I249" s="26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262"/>
      <c r="B250" s="263"/>
      <c r="C250" s="263"/>
      <c r="D250" s="263"/>
      <c r="E250" s="10"/>
      <c r="F250" s="10"/>
      <c r="G250" s="10"/>
      <c r="H250" s="10"/>
      <c r="I250" s="26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262"/>
      <c r="B251" s="263"/>
      <c r="C251" s="263"/>
      <c r="D251" s="263"/>
      <c r="E251" s="10"/>
      <c r="F251" s="10"/>
      <c r="G251" s="10"/>
      <c r="H251" s="10"/>
      <c r="I251" s="26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262"/>
      <c r="B252" s="263"/>
      <c r="C252" s="263"/>
      <c r="D252" s="263"/>
      <c r="E252" s="10"/>
      <c r="F252" s="10"/>
      <c r="G252" s="10"/>
      <c r="H252" s="10"/>
      <c r="I252" s="26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262"/>
      <c r="B253" s="263"/>
      <c r="C253" s="263"/>
      <c r="D253" s="263"/>
      <c r="E253" s="10"/>
      <c r="F253" s="10"/>
      <c r="G253" s="10"/>
      <c r="H253" s="10"/>
      <c r="I253" s="26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262"/>
      <c r="B254" s="263"/>
      <c r="C254" s="263"/>
      <c r="D254" s="263"/>
      <c r="E254" s="10"/>
      <c r="F254" s="10"/>
      <c r="G254" s="10"/>
      <c r="H254" s="10"/>
      <c r="I254" s="26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262"/>
      <c r="B255" s="263"/>
      <c r="C255" s="263"/>
      <c r="D255" s="263"/>
      <c r="E255" s="10"/>
      <c r="F255" s="10"/>
      <c r="G255" s="10"/>
      <c r="H255" s="10"/>
      <c r="I255" s="26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262"/>
      <c r="B256" s="263"/>
      <c r="C256" s="263"/>
      <c r="D256" s="263"/>
      <c r="E256" s="10"/>
      <c r="F256" s="10"/>
      <c r="G256" s="10"/>
      <c r="H256" s="10"/>
      <c r="I256" s="26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262"/>
      <c r="B257" s="263"/>
      <c r="C257" s="263"/>
      <c r="D257" s="263"/>
      <c r="E257" s="10"/>
      <c r="F257" s="10"/>
      <c r="G257" s="10"/>
      <c r="H257" s="10"/>
      <c r="I257" s="26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262"/>
      <c r="B258" s="263"/>
      <c r="C258" s="263"/>
      <c r="D258" s="263"/>
      <c r="E258" s="10"/>
      <c r="F258" s="10"/>
      <c r="G258" s="10"/>
      <c r="H258" s="10"/>
      <c r="I258" s="26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262"/>
      <c r="B259" s="263"/>
      <c r="C259" s="263"/>
      <c r="D259" s="263"/>
      <c r="E259" s="10"/>
      <c r="F259" s="10"/>
      <c r="G259" s="10"/>
      <c r="H259" s="10"/>
      <c r="I259" s="26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262"/>
      <c r="B260" s="263"/>
      <c r="C260" s="263"/>
      <c r="D260" s="263"/>
      <c r="E260" s="10"/>
      <c r="F260" s="10"/>
      <c r="G260" s="10"/>
      <c r="H260" s="10"/>
      <c r="I260" s="26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262"/>
      <c r="B261" s="263"/>
      <c r="C261" s="263"/>
      <c r="D261" s="263"/>
      <c r="E261" s="10"/>
      <c r="F261" s="10"/>
      <c r="G261" s="10"/>
      <c r="H261" s="10"/>
      <c r="I261" s="26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262"/>
      <c r="B262" s="263"/>
      <c r="C262" s="263"/>
      <c r="D262" s="263"/>
      <c r="E262" s="10"/>
      <c r="F262" s="10"/>
      <c r="G262" s="10"/>
      <c r="H262" s="10"/>
      <c r="I262" s="26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262"/>
      <c r="B263" s="263"/>
      <c r="C263" s="263"/>
      <c r="D263" s="263"/>
      <c r="E263" s="10"/>
      <c r="F263" s="10"/>
      <c r="G263" s="10"/>
      <c r="H263" s="10"/>
      <c r="I263" s="26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262"/>
      <c r="B264" s="263"/>
      <c r="C264" s="263"/>
      <c r="D264" s="263"/>
      <c r="E264" s="10"/>
      <c r="F264" s="10"/>
      <c r="G264" s="10"/>
      <c r="H264" s="10"/>
      <c r="I264" s="26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262"/>
      <c r="B265" s="263"/>
      <c r="C265" s="263"/>
      <c r="D265" s="263"/>
      <c r="E265" s="10"/>
      <c r="F265" s="10"/>
      <c r="G265" s="10"/>
      <c r="H265" s="10"/>
      <c r="I265" s="26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262"/>
      <c r="B266" s="263"/>
      <c r="C266" s="263"/>
      <c r="D266" s="263"/>
      <c r="E266" s="10"/>
      <c r="F266" s="10"/>
      <c r="G266" s="10"/>
      <c r="H266" s="10"/>
      <c r="I266" s="26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262"/>
      <c r="B267" s="263"/>
      <c r="C267" s="263"/>
      <c r="D267" s="263"/>
      <c r="E267" s="10"/>
      <c r="F267" s="10"/>
      <c r="G267" s="10"/>
      <c r="H267" s="10"/>
      <c r="I267" s="26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262"/>
      <c r="B268" s="263"/>
      <c r="C268" s="263"/>
      <c r="D268" s="263"/>
      <c r="E268" s="10"/>
      <c r="F268" s="10"/>
      <c r="G268" s="10"/>
      <c r="H268" s="10"/>
      <c r="I268" s="26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262"/>
      <c r="B269" s="263"/>
      <c r="C269" s="263"/>
      <c r="D269" s="263"/>
      <c r="E269" s="10"/>
      <c r="F269" s="10"/>
      <c r="G269" s="10"/>
      <c r="H269" s="10"/>
      <c r="I269" s="26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262"/>
      <c r="B270" s="263"/>
      <c r="C270" s="263"/>
      <c r="D270" s="263"/>
      <c r="E270" s="10"/>
      <c r="F270" s="10"/>
      <c r="G270" s="10"/>
      <c r="H270" s="10"/>
      <c r="I270" s="26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262"/>
      <c r="B271" s="263"/>
      <c r="C271" s="263"/>
      <c r="D271" s="263"/>
      <c r="E271" s="10"/>
      <c r="F271" s="10"/>
      <c r="G271" s="10"/>
      <c r="H271" s="10"/>
      <c r="I271" s="26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262"/>
      <c r="B272" s="263"/>
      <c r="C272" s="263"/>
      <c r="D272" s="263"/>
      <c r="E272" s="10"/>
      <c r="F272" s="10"/>
      <c r="G272" s="10"/>
      <c r="H272" s="10"/>
      <c r="I272" s="26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262"/>
      <c r="B273" s="263"/>
      <c r="C273" s="263"/>
      <c r="D273" s="263"/>
      <c r="E273" s="10"/>
      <c r="F273" s="10"/>
      <c r="G273" s="10"/>
      <c r="H273" s="10"/>
      <c r="I273" s="26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262"/>
      <c r="B274" s="263"/>
      <c r="C274" s="263"/>
      <c r="D274" s="263"/>
      <c r="E274" s="10"/>
      <c r="F274" s="10"/>
      <c r="G274" s="10"/>
      <c r="H274" s="10"/>
      <c r="I274" s="26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262"/>
      <c r="B275" s="263"/>
      <c r="C275" s="263"/>
      <c r="D275" s="263"/>
      <c r="E275" s="10"/>
      <c r="F275" s="10"/>
      <c r="G275" s="10"/>
      <c r="H275" s="10"/>
      <c r="I275" s="26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262"/>
      <c r="B276" s="263"/>
      <c r="C276" s="263"/>
      <c r="D276" s="263"/>
      <c r="E276" s="10"/>
      <c r="F276" s="10"/>
      <c r="G276" s="10"/>
      <c r="H276" s="10"/>
      <c r="I276" s="26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262"/>
      <c r="B277" s="263"/>
      <c r="C277" s="263"/>
      <c r="D277" s="263"/>
      <c r="E277" s="10"/>
      <c r="F277" s="10"/>
      <c r="G277" s="10"/>
      <c r="H277" s="10"/>
      <c r="I277" s="26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2:F3"/>
    <mergeCell ref="G2:G3"/>
    <mergeCell ref="E40:G40"/>
    <mergeCell ref="H40:I40"/>
    <mergeCell ref="E77:I77"/>
    <mergeCell ref="H2:I2"/>
    <mergeCell ref="A4:J4"/>
    <mergeCell ref="A1:A3"/>
    <mergeCell ref="B1:B3"/>
    <mergeCell ref="C1:C3"/>
    <mergeCell ref="D1:D3"/>
    <mergeCell ref="E1:I1"/>
    <mergeCell ref="J1:J3"/>
    <mergeCell ref="E2:E3"/>
  </mergeCells>
  <hyperlinks>
    <hyperlink r:id="rId1" ref="E8"/>
    <hyperlink r:id="rId2" ref="E13"/>
    <hyperlink r:id="rId3" ref="I15"/>
    <hyperlink r:id="rId4" ref="E19"/>
    <hyperlink r:id="rId5" ref="E24"/>
    <hyperlink r:id="rId6" ref="H26"/>
    <hyperlink r:id="rId7" ref="E30"/>
    <hyperlink r:id="rId8" ref="E35"/>
    <hyperlink r:id="rId9" ref="H37"/>
    <hyperlink r:id="rId10" ref="H38"/>
    <hyperlink r:id="rId11" ref="H39"/>
    <hyperlink r:id="rId12" ref="H40"/>
    <hyperlink r:id="rId13" ref="J40"/>
    <hyperlink r:id="rId14" ref="E45"/>
    <hyperlink r:id="rId15" ref="E50"/>
    <hyperlink r:id="rId16" ref="H52"/>
    <hyperlink r:id="rId17" ref="E56"/>
    <hyperlink r:id="rId18" ref="J57"/>
    <hyperlink r:id="rId19" ref="E61"/>
    <hyperlink r:id="rId20" ref="H63"/>
    <hyperlink r:id="rId21" ref="E67"/>
    <hyperlink r:id="rId22" ref="J68"/>
    <hyperlink r:id="rId23" ref="E72"/>
    <hyperlink r:id="rId24" ref="J73"/>
    <hyperlink r:id="rId25" ref="H74"/>
    <hyperlink r:id="rId26" ref="H75"/>
    <hyperlink r:id="rId27" ref="H76"/>
    <hyperlink r:id="rId28" ref="J77"/>
  </hyperlinks>
  <drawing r:id="rId29"/>
</worksheet>
</file>
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1" sheetId="1" r:id="rId4"/>
    <sheet state="visible" name="Lesson Report" sheetId="2" r:id="rId5"/>
    <sheet state="visible" name="Trang tính2" sheetId="3" r:id="rId6"/>
    <sheet state="visible" name="Trang tính3" sheetId="4" r:id="rId7"/>
  </sheets>
  <definedNames/>
  <calcPr/>
  <extLst>
    <ext uri="GoogleSheetsCustomDataVersion2">
      <go:sheetsCustomData xmlns:go="http://customooxmlschemas.google.com/" r:id="rId8" roundtripDataChecksum="sTshgL7UIhQXxdwwsVB0VaTRJf+/UhpR+jN6MyQCIu8="/>
    </ext>
  </extLst>
</workbook>
</file>

<file path=xl/sharedStrings.xml><?xml version="1.0" encoding="utf-8"?>
<sst xmlns="http://schemas.openxmlformats.org/spreadsheetml/2006/main" count="546" uniqueCount="359">
  <si>
    <t>SUN 1 SYLLABUS</t>
  </si>
  <si>
    <t>DATES</t>
  </si>
  <si>
    <t>LESSONS</t>
  </si>
  <si>
    <t>UNIT</t>
  </si>
  <si>
    <t>Student's book
 &amp; Activity's book PAGES</t>
  </si>
  <si>
    <t>CONTENTS</t>
  </si>
  <si>
    <t>Vocabulary</t>
  </si>
  <si>
    <t>Structures</t>
  </si>
  <si>
    <t>Lesson target</t>
  </si>
  <si>
    <t xml:space="preserve">Weekly Practice </t>
  </si>
  <si>
    <t>Homework</t>
  </si>
  <si>
    <t>Handbook</t>
  </si>
  <si>
    <t>E-learning
(Assigned by CM)</t>
  </si>
  <si>
    <t>Stage 1: Seed 1</t>
  </si>
  <si>
    <t>LESSON 1</t>
  </si>
  <si>
    <t>UNIT 1
HELLO!</t>
  </si>
  <si>
    <r>
      <rPr>
        <rFont val="Calibri"/>
        <b/>
        <color theme="1"/>
        <sz val="12.0"/>
      </rPr>
      <t>Class rules:</t>
    </r>
    <r>
      <rPr>
        <rFont val="Calibri"/>
        <color theme="1"/>
        <sz val="12.0"/>
      </rPr>
      <t xml:space="preserve">
1. Be quiet!
2. Sit nicely.
3. Raise your hand 
4. Speak English.
4. Listen to teacher
</t>
    </r>
    <r>
      <rPr>
        <rFont val="Calibri"/>
        <b/>
        <color theme="1"/>
        <sz val="12.0"/>
      </rPr>
      <t>- Star's family members:</t>
    </r>
    <r>
      <rPr>
        <rFont val="Calibri"/>
        <color theme="1"/>
        <sz val="12.0"/>
      </rPr>
      <t xml:space="preserve">
Mr. Star, Mrs. Star, Suzy, Simon, Stella, Maskman, Monty</t>
    </r>
  </si>
  <si>
    <r>
      <rPr>
        <rFont val="Calibri"/>
        <b/>
        <color rgb="FF000000"/>
        <sz val="12.0"/>
      </rPr>
      <t>Greetings</t>
    </r>
    <r>
      <rPr>
        <rFont val="Calibri"/>
        <color rgb="FF000000"/>
        <sz val="12.0"/>
      </rPr>
      <t xml:space="preserve">: Hello, I'm .....
Goodbye
What's your name?
My name is..../I'm......
How old are you?
I'm (seven) years old.
What color is the ......?
It's ....... </t>
    </r>
  </si>
  <si>
    <t xml:space="preserve">Students remember class rules
Students know how to greet each other
Students know how to ask and answer questions about name, age and color </t>
  </si>
  <si>
    <r>
      <rPr>
        <rFont val="Calibri"/>
        <b/>
        <color rgb="FFFF0000"/>
        <sz val="12.0"/>
      </rPr>
      <t xml:space="preserve">Video filming: </t>
    </r>
    <r>
      <rPr>
        <rFont val="Calibri"/>
        <color rgb="FF000000"/>
        <sz val="12.0"/>
      </rPr>
      <t xml:space="preserve">
</t>
    </r>
    <r>
      <rPr>
        <rFont val="Calibri"/>
        <b/>
        <color rgb="FF000000"/>
        <sz val="12.0"/>
      </rPr>
      <t>Students take turns to do the Role-play:</t>
    </r>
    <r>
      <rPr>
        <rFont val="Calibri"/>
        <color rgb="FF000000"/>
        <sz val="12.0"/>
      </rPr>
      <t xml:space="preserve"> (Divide the students into pairs) 
</t>
    </r>
    <r>
      <rPr>
        <rFont val="Calibri"/>
        <b/>
        <color rgb="FF000000"/>
        <sz val="12.0"/>
      </rPr>
      <t>Topic: How old are you</t>
    </r>
    <r>
      <rPr>
        <rFont val="Calibri"/>
        <color rgb="FF000000"/>
        <sz val="12.0"/>
      </rPr>
      <t xml:space="preserve">
Sample video: How old are you? - [Age] - Renewal - Easy Dialogue - Role Play - YouTube
(</t>
    </r>
    <r>
      <rPr>
        <rFont val="Calibri"/>
        <i/>
        <color rgb="FF000000"/>
        <sz val="12.0"/>
      </rPr>
      <t xml:space="preserve">Teacher prepares the Questions list (if needed) </t>
    </r>
    <r>
      <rPr>
        <rFont val="Calibri"/>
        <color rgb="FF000000"/>
        <sz val="12.0"/>
      </rPr>
      <t xml:space="preserve">) </t>
    </r>
  </si>
  <si>
    <t>Vocabulary 1</t>
  </si>
  <si>
    <t>LESSON 2</t>
  </si>
  <si>
    <t>5-6</t>
  </si>
  <si>
    <r>
      <rPr>
        <rFont val="Calibri"/>
        <b/>
        <color theme="1"/>
        <sz val="12.0"/>
      </rPr>
      <t xml:space="preserve">- Review Star's family members: </t>
    </r>
    <r>
      <rPr>
        <rFont val="Calibri"/>
        <color theme="1"/>
        <sz val="12.0"/>
      </rPr>
      <t xml:space="preserve">Mr. Star, Mrs. Star, Suzy, Simon, Stella, Maskman, Monty
</t>
    </r>
    <r>
      <rPr>
        <rFont val="Calibri"/>
        <b/>
        <color theme="1"/>
        <sz val="12.0"/>
      </rPr>
      <t xml:space="preserve">- Numbers - Chant </t>
    </r>
    <r>
      <rPr>
        <rFont val="Calibri"/>
        <color theme="1"/>
        <sz val="12.0"/>
      </rPr>
      <t xml:space="preserve">: 1-10
</t>
    </r>
    <r>
      <rPr>
        <rFont val="Calibri"/>
        <b/>
        <color theme="1"/>
        <sz val="12.0"/>
      </rPr>
      <t>- New character</t>
    </r>
    <r>
      <rPr>
        <rFont val="Calibri"/>
        <color theme="1"/>
        <sz val="12.0"/>
      </rPr>
      <t>: Meera</t>
    </r>
  </si>
  <si>
    <r>
      <rPr>
        <rFont val="Calibri"/>
        <b/>
        <color theme="1"/>
        <sz val="12.0"/>
      </rPr>
      <t>Review:</t>
    </r>
    <r>
      <rPr>
        <rFont val="Calibri"/>
        <color theme="1"/>
        <sz val="12.0"/>
      </rPr>
      <t xml:space="preserve"> Greetings: Hello, I'm .....
Goodbye
What's your name?
My name is..../I'm......
How old are you?
I'm….. (years old) 
</t>
    </r>
    <r>
      <rPr>
        <rFont val="Calibri"/>
        <b/>
        <color theme="1"/>
        <sz val="12.0"/>
      </rPr>
      <t xml:space="preserve">This is .....
</t>
    </r>
  </si>
  <si>
    <t>Students remember Vocabularies and Structure from Lesson 1
Students can ask and answer question: "How old are you? I'm .... (years old)" 
Students can answer characters and family members using "This is....."</t>
  </si>
  <si>
    <t>Vocabulary 3
Grammar 1</t>
  </si>
  <si>
    <t>LESSON 3</t>
  </si>
  <si>
    <t>7</t>
  </si>
  <si>
    <r>
      <rPr>
        <rFont val="Calibri"/>
        <color theme="1"/>
        <sz val="12.0"/>
      </rPr>
      <t xml:space="preserve">- Colors: Pink, orange, yellow, red, blue, green, purple
- Sing the song (CD1-10)
- </t>
    </r>
    <r>
      <rPr>
        <rFont val="Calibri"/>
        <b/>
        <color theme="1"/>
        <sz val="12.0"/>
      </rPr>
      <t>Speaking activity: Mixing colors and explain: "What color is it"?</t>
    </r>
    <r>
      <rPr>
        <rFont val="Calibri"/>
        <color theme="1"/>
        <sz val="12.0"/>
      </rPr>
      <t xml:space="preserve">
</t>
    </r>
  </si>
  <si>
    <t>What color is it?
It's ….</t>
  </si>
  <si>
    <t>Students can remember vocabularies about Colors
Students can ask and answer "What color is it? It's ..." 
Students can sing the song, do the activity and speak</t>
  </si>
  <si>
    <t>Vocabulary 2
Grammar 2</t>
  </si>
  <si>
    <t>LESSON 4</t>
  </si>
  <si>
    <r>
      <rPr>
        <rFont val="Calibri"/>
        <b/>
        <color theme="1"/>
        <sz val="14.0"/>
      </rPr>
      <t xml:space="preserve">UNIT 1
HELLO!
</t>
    </r>
    <r>
      <rPr>
        <rFont val="Calibri"/>
        <b/>
        <color rgb="FFFF0000"/>
        <sz val="14.0"/>
      </rPr>
      <t>Review + Speaking Project</t>
    </r>
  </si>
  <si>
    <t>8-9</t>
  </si>
  <si>
    <r>
      <rPr>
        <rFont val="Calibri"/>
        <b/>
        <color theme="1"/>
        <sz val="12.0"/>
        <u/>
      </rPr>
      <t>- Pronunciation: /s/
- Listen to the story (CD1 - 17)
-(45 minutes</t>
    </r>
    <r>
      <rPr>
        <rFont val="Calibri"/>
        <b/>
        <color theme="1"/>
        <sz val="12.0"/>
      </rPr>
      <t>) Unit 1: Speaking Project:  Sun 1_Unit 1_Speaking Project 1.pptx</t>
    </r>
  </si>
  <si>
    <t>/s/-/s/-six
/s/-/s/-star
/s/-/s/-six stars</t>
  </si>
  <si>
    <t>- Student learn some words start with /s/ sound in "Say it with Monty". Encourage students to know more words.
- With the story, make 3 questions so students will answer them after the story
- Students stand in front of the class and do the Speaking Project (Teacher records the videos)</t>
  </si>
  <si>
    <t>Grammar 3</t>
  </si>
  <si>
    <t>LESSON 5</t>
  </si>
  <si>
    <t>RREVIEW+  UNIT TEST</t>
  </si>
  <si>
    <r>
      <rPr>
        <rFont val="Calibri"/>
        <color theme="1"/>
        <sz val="12.0"/>
      </rPr>
      <t xml:space="preserve">Review Unit 1 (vocabulary and structures)
- Star's family members
- Numbers 1-10
- Colors
</t>
    </r>
    <r>
      <rPr>
        <rFont val="Calibri"/>
        <b/>
        <color rgb="FFFF0000"/>
        <sz val="12.0"/>
      </rPr>
      <t>- (45 minutes) Unit Test 1</t>
    </r>
  </si>
  <si>
    <t>Hello! I'm ….
This is …..
How old are you?
I'm…..
What color is it?
It's ….</t>
  </si>
  <si>
    <t>- Students review all vocabulary and structures</t>
  </si>
  <si>
    <t>Game 1 and 2</t>
  </si>
  <si>
    <t>LESSON 6</t>
  </si>
  <si>
    <t>UNIT 2
MY SCHOOL</t>
  </si>
  <si>
    <t>10-11</t>
  </si>
  <si>
    <r>
      <rPr>
        <rFont val="Calibri"/>
        <b/>
        <color theme="1"/>
        <sz val="12.0"/>
      </rPr>
      <t>- School things:</t>
    </r>
    <r>
      <rPr>
        <rFont val="Calibri"/>
        <color theme="1"/>
        <sz val="12.0"/>
      </rPr>
      <t xml:space="preserve"> Table,Book,Chair,Eraser, Pen, Pencil
</t>
    </r>
    <r>
      <rPr>
        <rFont val="Calibri"/>
        <b/>
        <color theme="1"/>
        <sz val="12.0"/>
      </rPr>
      <t xml:space="preserve">- Chant </t>
    </r>
    <r>
      <rPr>
        <rFont val="Calibri"/>
        <color theme="1"/>
        <sz val="12.0"/>
      </rPr>
      <t xml:space="preserve">(CD1-22): Say the chant
- Listen and correct (CD1-23) </t>
    </r>
  </si>
  <si>
    <r>
      <rPr>
        <rFont val="Calibri"/>
        <b/>
        <color theme="1"/>
        <sz val="12.0"/>
      </rPr>
      <t>What is it ? It's a…</t>
    </r>
    <r>
      <rPr>
        <rFont val="Calibri"/>
        <color theme="1"/>
        <sz val="12.0"/>
      </rPr>
      <t xml:space="preserve">
Four purple chairs, six orange chairs
</t>
    </r>
    <r>
      <rPr>
        <rFont val="Calibri"/>
        <b/>
        <color theme="1"/>
        <sz val="12.0"/>
      </rPr>
      <t>How are you?</t>
    </r>
    <r>
      <rPr>
        <rFont val="Calibri"/>
        <color theme="1"/>
        <sz val="12.0"/>
      </rPr>
      <t xml:space="preserve">
I'm fine, thank you.</t>
    </r>
  </si>
  <si>
    <t>Remember school things
Start using adjective with noun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</si>
  <si>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Do you have Crayons? </t>
    </r>
    <r>
      <rPr>
        <rFont val="Calibri"/>
        <color theme="1"/>
        <sz val="12.0"/>
      </rPr>
      <t xml:space="preserve">
Sample video: Do you have crayons? - [Have] - Renewal - Easy Dialogue - Role Play - YouTube
(Teacher prepares the Questions list (if needed) )
</t>
    </r>
  </si>
  <si>
    <t>LESSON 7</t>
  </si>
  <si>
    <t>12-13</t>
  </si>
  <si>
    <r>
      <rPr>
        <rFont val="Calibri"/>
        <color theme="1"/>
        <sz val="12.0"/>
      </rPr>
      <t xml:space="preserve">- Review School things Vocabularies: Table,Book,Chair,Eraser, Pen, Pencil (Lesson 6)
- New Characters: Lenny and Alex
</t>
    </r>
    <r>
      <rPr>
        <rFont val="Calibri"/>
        <b/>
        <color rgb="FFFF0000"/>
        <sz val="12.0"/>
      </rPr>
      <t xml:space="preserve">- Craft project and speaking: Make the puppets (page 13) </t>
    </r>
  </si>
  <si>
    <t>Who's that? 
He's (Alex). She's (Meera)
Who is she/he?
She/He is ….
How old is he/she? 
He/she is (six)</t>
  </si>
  <si>
    <r>
      <rPr>
        <rFont val="Calibri"/>
        <color theme="1"/>
        <sz val="12.0"/>
      </rPr>
      <t xml:space="preserve">Understand the differents between He and She
</t>
    </r>
    <r>
      <rPr>
        <rFont val="Calibri"/>
        <b/>
        <color rgb="FFFF0000"/>
        <sz val="12.0"/>
      </rPr>
      <t xml:space="preserve">Students know how to describe objects that related to the project </t>
    </r>
  </si>
  <si>
    <t>LESSON 8</t>
  </si>
  <si>
    <t>14-15</t>
  </si>
  <si>
    <r>
      <rPr>
        <rFont val="Calibri"/>
        <b/>
        <color theme="1"/>
        <sz val="12.0"/>
      </rPr>
      <t>- Pronunciation (initial letter sounds) : /p/ and /b/</t>
    </r>
    <r>
      <rPr>
        <rFont val="Calibri"/>
        <color theme="1"/>
        <sz val="12.0"/>
      </rPr>
      <t xml:space="preserve">
- The story
- Watching video: Simon says</t>
    </r>
  </si>
  <si>
    <t>/p/-/p/-pen
/b/-/b/-bag
A pink pen and a blue bag</t>
  </si>
  <si>
    <r>
      <rPr>
        <rFont val="Calibri"/>
        <b/>
        <color theme="1"/>
        <sz val="12.0"/>
      </rPr>
      <t xml:space="preserve">- Student learn some words start with /p/ and /b/ sound in "Say it with Monty". </t>
    </r>
    <r>
      <rPr>
        <rFont val="Calibri"/>
        <color theme="1"/>
        <sz val="12.0"/>
      </rPr>
      <t xml:space="preserve">
- With the story, make 3 question so student answer them after the story
- With the videos, students can understand and play the game.</t>
    </r>
  </si>
  <si>
    <t>LESSON 9</t>
  </si>
  <si>
    <t>16-17</t>
  </si>
  <si>
    <r>
      <rPr>
        <rFont val="Calibri"/>
        <b/>
        <color rgb="FF980000"/>
        <sz val="15.0"/>
        <u/>
      </rPr>
      <t>Maths:</t>
    </r>
    <r>
      <rPr>
        <rFont val="Calibri"/>
        <b/>
        <color theme="1"/>
        <sz val="12.0"/>
        <u/>
      </rPr>
      <t xml:space="preserve"> Marie's maths: Adding: Look and say the number 
- Trevor values: </t>
    </r>
    <r>
      <rPr>
        <rFont val="Calibri"/>
        <b/>
        <color rgb="FF980000"/>
        <sz val="12.0"/>
        <u/>
      </rPr>
      <t xml:space="preserve">(Story) </t>
    </r>
    <r>
      <rPr>
        <rFont val="Calibri"/>
        <b/>
        <color theme="1"/>
        <sz val="12.0"/>
        <u/>
      </rPr>
      <t>Make friends
-(45 minutes) Unit 2 Speaking v</t>
    </r>
    <r>
      <rPr>
        <rFont val="Calibri"/>
        <b/>
        <color theme="1"/>
        <sz val="12.0"/>
      </rPr>
      <t>ideo</t>
    </r>
    <r>
      <rPr>
        <rFont val="Calibri"/>
        <color theme="1"/>
        <sz val="12.0"/>
      </rPr>
      <t>: Sun 1_Unit 2_Speaking Project.pptx</t>
    </r>
  </si>
  <si>
    <t>1 pen and 2 pens is 3 pens</t>
  </si>
  <si>
    <t xml:space="preserve">- Students can use adding math to count things in English.
- Understand the value of making friends
- Students stand in front of the class and read the passage fluently ( Teacher records the videos)
</t>
  </si>
  <si>
    <t>LESSON 10</t>
  </si>
  <si>
    <t>REVIEW + UNIT TEST</t>
  </si>
  <si>
    <r>
      <rPr>
        <rFont val="Calibri"/>
        <color theme="1"/>
        <sz val="12.0"/>
      </rPr>
      <t xml:space="preserve">Review Unit 2 (vocabulary and structures)
- School things
- New characters: Lenny and Alex
</t>
    </r>
    <r>
      <rPr>
        <rFont val="Calibri"/>
        <b/>
        <color rgb="FFFF0000"/>
        <sz val="12.0"/>
      </rPr>
      <t xml:space="preserve">- (45 minutes) Unit Test 2 </t>
    </r>
  </si>
  <si>
    <t>What is it ? It's a…
Four purple chairs, six orange chairs
Who's that? 
He's (Alex). She's (Meera)
Who is she/he?
She/He is ….
How old is he/she? 
He/she is (six)"</t>
  </si>
  <si>
    <t xml:space="preserve">- Students review all vocabulary and structures
- Students do the Unit Test </t>
  </si>
  <si>
    <t>LESSON 11</t>
  </si>
  <si>
    <t>UNIT 3
FAVORITE TOYS</t>
  </si>
  <si>
    <t>- Toys: Ball, bike, car, computer, doll, train</t>
  </si>
  <si>
    <t>My favorite toys is a red car</t>
  </si>
  <si>
    <t>Students understand the topic and remember the words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</si>
  <si>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What color is it?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Sample video</t>
    </r>
    <r>
      <rPr>
        <rFont val="Calibri"/>
        <color theme="1"/>
        <sz val="12.0"/>
      </rPr>
      <t xml:space="preserve">:What color is it? - [Color] - Renewal - Easy Dialogue - Role Play - YouTube 
(Teacher prepares the Questions list (if needed) )
</t>
    </r>
  </si>
  <si>
    <t>LESSON 12</t>
  </si>
  <si>
    <t xml:space="preserve">- Review lesson 11
- New words: black, brown, white, grey
</t>
  </si>
  <si>
    <t>It's a green ball.
It's a black car.</t>
  </si>
  <si>
    <t>Students remember new colors and use them with toy's words.</t>
  </si>
  <si>
    <t>Vocabulary 2
Grammar 1</t>
  </si>
  <si>
    <t>LESSON 13</t>
  </si>
  <si>
    <t>20-21-22</t>
  </si>
  <si>
    <t xml:space="preserve">- Prepositions: In, on, under, next to
- Sing a song
</t>
  </si>
  <si>
    <t>- Is a ball under the chair?
Yes, it is
No, it isn't
- Where is it?
It's on the chair.</t>
  </si>
  <si>
    <t>- Student can remember prepositions and use them correctly.
- Students can sing a song together</t>
  </si>
  <si>
    <t>Vocabulary 3
Grammar 2</t>
  </si>
  <si>
    <t>LESSON 14</t>
  </si>
  <si>
    <t>22-23</t>
  </si>
  <si>
    <r>
      <rPr>
        <rFont val="Calibri"/>
        <b/>
        <color rgb="FF000000"/>
        <sz val="12.0"/>
        <u/>
      </rPr>
      <t>'</t>
    </r>
    <r>
      <rPr>
        <rFont val="Calibri"/>
        <b/>
        <color rgb="FF000000"/>
        <sz val="12.0"/>
        <u/>
      </rPr>
      <t>- Pronunciation: /t/ and /d/</t>
    </r>
    <r>
      <rPr>
        <rFont val="Calibri"/>
        <color rgb="FF000000"/>
        <sz val="12.0"/>
        <u/>
      </rPr>
      <t xml:space="preserve">
- Watch the story 
</t>
    </r>
    <r>
      <rPr>
        <rFont val="Calibri"/>
        <b/>
        <color rgb="FF000000"/>
        <sz val="12.0"/>
        <u/>
      </rPr>
      <t>- (45 minutes) Unit 3 Speaking video:</t>
    </r>
    <r>
      <rPr>
        <rFont val="Calibri"/>
        <color theme="1"/>
        <sz val="12.0"/>
      </rPr>
      <t xml:space="preserve"> </t>
    </r>
    <r>
      <rPr>
        <rFont val="Calibri"/>
        <color theme="1"/>
        <sz val="12.0"/>
      </rPr>
      <t>UNIT 3 PRESENTATION TOYS AND COLORS.pptx</t>
    </r>
  </si>
  <si>
    <t>/t/-/t/-train
/d/-/d/-doll
Ten dolls on a train.</t>
  </si>
  <si>
    <r>
      <rPr>
        <rFont val="Calibri"/>
        <b/>
        <color theme="1"/>
        <sz val="12.0"/>
      </rPr>
      <t>- Student learn some words start with /t/ sound in "Say it with Monty".</t>
    </r>
    <r>
      <rPr>
        <rFont val="Calibri"/>
        <color theme="1"/>
        <sz val="12.0"/>
      </rPr>
      <t xml:space="preserve">
- With the story, make 3 question so students answer them after the story
- Students stand in front of the class and read the passage fluently ( Teacher records the videos)</t>
    </r>
  </si>
  <si>
    <t>LESSON 15</t>
  </si>
  <si>
    <t>REVIEW + TEST</t>
  </si>
  <si>
    <t>Review Unit 3 (vocabulary and structures)
- Toys
- New colors
- Prepositions</t>
  </si>
  <si>
    <t>My favorite toys is a red car
It's a green ball.
It's a black car.
- Is a ball under the chair?
Yes, it is
No, it isn't
- Where is it?
It's on the chair.</t>
  </si>
  <si>
    <t>LESSON 16</t>
  </si>
  <si>
    <t>UNIT 4
MY FAMILY</t>
  </si>
  <si>
    <t>24-25</t>
  </si>
  <si>
    <t>- Family: Mother, Father, Brother, Sister, grandma, grandpa</t>
  </si>
  <si>
    <t>This is my…..
He/She is my</t>
  </si>
  <si>
    <t>Students remember the words and use them with structure correctly.</t>
  </si>
  <si>
    <r>
      <rPr>
        <rFont val="Calibri"/>
        <b/>
        <color rgb="FFFF0000"/>
        <sz val="12.0"/>
      </rPr>
      <t>Video filming:</t>
    </r>
    <r>
      <rPr>
        <rFont val="Calibri"/>
        <color theme="1"/>
        <sz val="12.0"/>
      </rPr>
      <t xml:space="preserve">
Drawing and presenting: 
</t>
    </r>
    <r>
      <rPr>
        <rFont val="Calibri"/>
        <b/>
        <color rgb="FFFF0000"/>
        <sz val="12.0"/>
      </rPr>
      <t>Draw a family tree and introduce about Family members</t>
    </r>
    <r>
      <rPr>
        <rFont val="Calibri"/>
        <color theme="1"/>
        <sz val="12.0"/>
      </rPr>
      <t xml:space="preserve"> 
Template: Family Tree Template.pdf</t>
    </r>
  </si>
  <si>
    <t>LESSON 17</t>
  </si>
  <si>
    <t>26-27</t>
  </si>
  <si>
    <t>- Review lesson 16
- New words: Old-young, ugly-beautiful, happy-sad
- Sing a song</t>
  </si>
  <si>
    <t>She is happy
He is sad</t>
  </si>
  <si>
    <t>- Student can remember adjectives and use them correctly.
- Students can sing a song together</t>
  </si>
  <si>
    <t>LESSON 18</t>
  </si>
  <si>
    <t>28-29</t>
  </si>
  <si>
    <r>
      <rPr>
        <rFont val="Calibri"/>
        <b/>
        <color rgb="FF000000"/>
        <sz val="12.0"/>
        <u/>
      </rPr>
      <t>- Pronunciation: /a/</t>
    </r>
    <r>
      <rPr>
        <rFont val="Calibri"/>
        <color rgb="FF000000"/>
        <sz val="12.0"/>
        <u/>
      </rPr>
      <t xml:space="preserve">
- Watch the story (read along the script)
- Student role play 
Story: </t>
    </r>
    <r>
      <rPr>
        <rFont val="Calibri"/>
        <color rgb="FF1155CC"/>
        <sz val="12.0"/>
        <u/>
      </rPr>
      <t>https://youtu.be/s9RuBAvENhI?si=Pcbcih78PUSKIv2X&amp;t=127</t>
    </r>
  </si>
  <si>
    <t>/a/-/a/-sad
Sad cat</t>
  </si>
  <si>
    <t>- Student learn some words start with /a/ sound in "Say it with Monty".
- With the story, make 3 question so students answer them after the story
- Student do a role play  (Teacher records and give some comments)</t>
  </si>
  <si>
    <t>LESSON 19</t>
  </si>
  <si>
    <t>30-31</t>
  </si>
  <si>
    <r>
      <rPr>
        <rFont val="Calibri"/>
        <color rgb="FF000000"/>
        <sz val="12.0"/>
        <u/>
      </rPr>
      <t>- Marie's art: Mixing colours
- Trevor values: Be kind</t>
    </r>
    <r>
      <rPr>
        <rFont val="Calibri"/>
        <b/>
        <color rgb="FF000000"/>
        <sz val="12.0"/>
        <u/>
      </rPr>
      <t xml:space="preserve">
-</t>
    </r>
    <r>
      <rPr>
        <rFont val="Calibri"/>
        <b/>
        <i/>
        <color rgb="FF000000"/>
        <sz val="11.0"/>
        <u/>
      </rPr>
      <t>(45 minutes)</t>
    </r>
    <r>
      <rPr>
        <rFont val="Calibri"/>
        <b/>
        <color rgb="FF000000"/>
        <sz val="12.0"/>
        <u/>
      </rPr>
      <t xml:space="preserve"> Unit 4 Speaking video</t>
    </r>
    <r>
      <rPr>
        <rFont val="Calibri"/>
        <sz val="12.0"/>
      </rPr>
      <t>UNIT 4 MY FAMILY, FEELING, COLORS.pptx</t>
    </r>
  </si>
  <si>
    <t>What's blue and red?
It's purple.</t>
  </si>
  <si>
    <r>
      <rPr>
        <rFont val="Calibri"/>
        <color theme="1"/>
        <sz val="12.0"/>
      </rPr>
      <t xml:space="preserve">- Students know how to mix colours.
- Understand the value of be kind.
- Students stand in front of class and read fluently </t>
    </r>
    <r>
      <rPr>
        <rFont val="Calibri"/>
        <b/>
        <color theme="1"/>
        <sz val="12.0"/>
      </rPr>
      <t>(Teacher records the videos)</t>
    </r>
  </si>
  <si>
    <t>LESSON 20</t>
  </si>
  <si>
    <t>Review Unit 4 (vocabulary and structures)
- Family members
- Adjectives</t>
  </si>
  <si>
    <t>This is my…..
He/She is my
She is happy
He is sad</t>
  </si>
  <si>
    <t>LESSON 21</t>
  </si>
  <si>
    <t>UNIT 5
OUR PETS</t>
  </si>
  <si>
    <t>- Pets: dog, fish, mouse, cat, bird, horse</t>
  </si>
  <si>
    <t>- What pet is it?
It's a......</t>
  </si>
  <si>
    <r>
      <rPr>
        <rFont val="Calibri"/>
        <b/>
        <color theme="1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Do you have a pet?
Sample video: </t>
    </r>
    <r>
      <rPr>
        <rFont val="Calibri"/>
        <color theme="1"/>
        <sz val="12.0"/>
      </rPr>
      <t xml:space="preserve">Lesson 15_(B)Do you have a pet? - Cartoon Story - English Education - Easy conversation for kids - YouTube
</t>
    </r>
    <r>
      <rPr>
        <rFont val="Calibri"/>
        <i/>
        <color theme="1"/>
        <sz val="12.0"/>
      </rPr>
      <t>(Teacher prepares the Questions list (if needed) )</t>
    </r>
    <r>
      <rPr>
        <rFont val="Calibri"/>
        <color theme="1"/>
        <sz val="12.0"/>
      </rPr>
      <t xml:space="preserve">
</t>
    </r>
  </si>
  <si>
    <t>LESSON 22</t>
  </si>
  <si>
    <t>- Review pets
- Review Adj in Unit 4: Old-young, ugly-beautiful, happy-sad</t>
  </si>
  <si>
    <t>- It's/ They are....</t>
  </si>
  <si>
    <t>Students can use adj to say with pets</t>
  </si>
  <si>
    <t>LESSON 23</t>
  </si>
  <si>
    <t>36-37</t>
  </si>
  <si>
    <r>
      <rPr>
        <rFont val="Calibri"/>
        <color rgb="FF000000"/>
        <sz val="12.0"/>
        <u/>
      </rPr>
      <t xml:space="preserve">- Adjectives:  big, small, long, short, clean, dirty
- Games online: </t>
    </r>
    <r>
      <rPr>
        <rFont val="Calibri"/>
        <color rgb="FF1155CC"/>
        <sz val="12.0"/>
        <u/>
      </rPr>
      <t>Adjective practice</t>
    </r>
    <r>
      <rPr>
        <rFont val="Calibri"/>
        <color rgb="FF000000"/>
        <sz val="12.0"/>
        <u/>
      </rPr>
      <t xml:space="preserve">
- Sing a song</t>
    </r>
  </si>
  <si>
    <t>LESSON 24</t>
  </si>
  <si>
    <t>38-39</t>
  </si>
  <si>
    <r>
      <rPr>
        <rFont val="Calibri"/>
        <b/>
        <color rgb="FF000000"/>
        <sz val="12.0"/>
        <u/>
      </rPr>
      <t>- Pronunciation: /t/</t>
    </r>
    <r>
      <rPr>
        <rFont val="Calibri"/>
        <color rgb="FF000000"/>
        <sz val="12.0"/>
        <u/>
      </rPr>
      <t xml:space="preserve">
- The story</t>
    </r>
    <r>
      <rPr>
        <rFont val="Calibri"/>
        <b/>
        <color rgb="FF000000"/>
        <sz val="12.0"/>
        <u/>
      </rPr>
      <t xml:space="preserve">
- (45 minutes) Unit 5 Speaking video: </t>
    </r>
    <r>
      <rPr>
        <rFont val="Calibri"/>
        <sz val="12.0"/>
      </rPr>
      <t>Sun 1_Speaking Project_Unit 5.pptx</t>
    </r>
  </si>
  <si>
    <t>/t/-/t/- ten, red
Ten red pets</t>
  </si>
  <si>
    <r>
      <rPr>
        <rFont val="Calibri"/>
        <color theme="1"/>
        <sz val="12.0"/>
      </rPr>
      <t xml:space="preserve">- Student learn some words start with /t/ sound in "Say it with Monty".
- With the story, make 3 question so students answer them after the story
- Students stand in front of class and read fluently </t>
    </r>
    <r>
      <rPr>
        <rFont val="Calibri"/>
        <b/>
        <color theme="1"/>
        <sz val="12.0"/>
      </rPr>
      <t>(Teacher records the videos)</t>
    </r>
  </si>
  <si>
    <t>LESSON 25</t>
  </si>
  <si>
    <t>Review Unit 5 (vocabulary and structures)
- Pets
- Adjectives</t>
  </si>
  <si>
    <t>- What pet is it?
It's a......
- It's/ They are....</t>
  </si>
  <si>
    <t>LESSON 26</t>
  </si>
  <si>
    <t>UNIT 6
MY FACE</t>
  </si>
  <si>
    <t>40-41</t>
  </si>
  <si>
    <t>Parts of face: ear, hair, eye, face, teeth, nose, mouth</t>
  </si>
  <si>
    <t>- What is this?
It's .....
- This is my ....</t>
  </si>
  <si>
    <r>
      <rPr>
        <rFont val="Calibri"/>
        <b/>
        <color rgb="FFFF0000"/>
        <sz val="12.0"/>
      </rPr>
      <t>Video filming:</t>
    </r>
    <r>
      <rPr>
        <rFont val="Calibri"/>
        <color theme="1"/>
        <sz val="12.0"/>
      </rPr>
      <t xml:space="preserve">
</t>
    </r>
    <r>
      <rPr>
        <rFont val="Calibri"/>
        <b/>
        <color rgb="FF741B47"/>
        <sz val="12.0"/>
      </rPr>
      <t xml:space="preserve">Create a face: (Creative Lesson) 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Draw in a blank face template</t>
    </r>
    <r>
      <rPr>
        <rFont val="Calibri"/>
        <color theme="1"/>
        <sz val="12.0"/>
      </rPr>
      <t xml:space="preserve">, create your own face. It could be a boy or a girl, feel free to design every parts of the face then describe about it.
</t>
    </r>
    <r>
      <rPr>
        <rFont val="Calibri"/>
        <b/>
        <color theme="1"/>
        <sz val="12.0"/>
      </rPr>
      <t>Blank template:</t>
    </r>
    <r>
      <rPr>
        <rFont val="Calibri"/>
        <color theme="1"/>
        <sz val="12.0"/>
      </rPr>
      <t xml:space="preserve"> Blank face Template.jpg</t>
    </r>
  </si>
  <si>
    <t>LESSON 27</t>
  </si>
  <si>
    <t>42-43</t>
  </si>
  <si>
    <t>- Review parts of face
- Sing a song</t>
  </si>
  <si>
    <t>- I have got....
- Have you got....?
Yes, I have. /No, I haven't.</t>
  </si>
  <si>
    <t>- Students can use structure to decribe their parts of face.
- Students can sing a song together</t>
  </si>
  <si>
    <t>LESSON 28</t>
  </si>
  <si>
    <t>44-45</t>
  </si>
  <si>
    <r>
      <rPr>
        <rFont val="Calibri"/>
        <b/>
        <color theme="1"/>
        <sz val="12.0"/>
      </rPr>
      <t>- Pronunciation: /gt/ and /br/</t>
    </r>
    <r>
      <rPr>
        <rFont val="Calibri"/>
        <color theme="1"/>
        <sz val="12.0"/>
      </rPr>
      <t xml:space="preserve">
- The story
- Watching videos:
+ A special shop</t>
    </r>
  </si>
  <si>
    <t>- Student learn some words start with /gr/ and /br/ sound in "Say it with Monty".
- With the story, make 3 question so students answer them after the story</t>
  </si>
  <si>
    <t>LESSON 29</t>
  </si>
  <si>
    <t>46-47</t>
  </si>
  <si>
    <r>
      <rPr>
        <rFont val="Calibri"/>
        <color rgb="FF000000"/>
        <sz val="12.0"/>
        <u/>
      </rPr>
      <t>- Marie's science: hear, see, smell, taste, touch
- Do Excercises on page 46-47 (Activity's book)</t>
    </r>
    <r>
      <rPr>
        <rFont val="Calibri"/>
        <b/>
        <color rgb="FF000000"/>
        <sz val="12.0"/>
        <u/>
      </rPr>
      <t xml:space="preserve">
</t>
    </r>
    <r>
      <rPr>
        <rFont val="Calibri"/>
        <b/>
        <sz val="12.0"/>
      </rPr>
      <t>(45 minutes): Unit 6 Speaking  video:</t>
    </r>
    <r>
      <rPr>
        <rFont val="Calibri"/>
        <color rgb="FF000000"/>
        <sz val="12.0"/>
      </rPr>
      <t xml:space="preserve">  </t>
    </r>
    <r>
      <rPr>
        <rFont val="Calibri"/>
        <sz val="12.0"/>
      </rPr>
      <t>UNIT 6 PARTS OF FACE, SENSES.pptx</t>
    </r>
  </si>
  <si>
    <t>- I see with my eyes.
- I hear with my ears.
- I smell with my nose.
- I taste with my tounge.
- I touch with my hands.</t>
  </si>
  <si>
    <r>
      <rPr>
        <rFont val="Calibri"/>
        <color theme="1"/>
        <sz val="12.0"/>
      </rPr>
      <t xml:space="preserve">- Students remember the words.
- Students understand the value.
- Students stand in front of class and read fluently </t>
    </r>
    <r>
      <rPr>
        <rFont val="Calibri"/>
        <b/>
        <color theme="1"/>
        <sz val="12.0"/>
      </rPr>
      <t>(Teacher records the videos)</t>
    </r>
  </si>
  <si>
    <t>LESSON 30</t>
  </si>
  <si>
    <t>REVIEW</t>
  </si>
  <si>
    <t>Review Unit 6 (vocabulary and structures)
- Parts of face
- Senses: see, hear, smell, taste, touch</t>
  </si>
  <si>
    <t>LESSON 31</t>
  </si>
  <si>
    <t>4-17</t>
  </si>
  <si>
    <t>Review all vocabularies of Unit 1 and 2</t>
  </si>
  <si>
    <t xml:space="preserve">How old are you? I'm…..
What color is it? It's …..
Who is he/she? He/She is...
</t>
  </si>
  <si>
    <t>- Students review the lesson contents of Unit 1 &amp; 2</t>
  </si>
  <si>
    <t>Unit 1-2
Game 1 &amp; 2</t>
  </si>
  <si>
    <t>LESSON 32</t>
  </si>
  <si>
    <t>18-31</t>
  </si>
  <si>
    <t>Review all vocabularies of Unit 3 and 4</t>
  </si>
  <si>
    <t>What's your favorite toy?
Where's the car?
This is my mother/father/…</t>
  </si>
  <si>
    <t>- Students review the lesson contents of Unit 3 &amp; 4</t>
  </si>
  <si>
    <t>Unit 3-4
Game 1 &amp; 2</t>
  </si>
  <si>
    <t>LESSON 33</t>
  </si>
  <si>
    <t>34-47</t>
  </si>
  <si>
    <t>Review all vocabularies of Unit 5 and 6</t>
  </si>
  <si>
    <t>- It's/They're...
- I have got....
- Have you got....?
Yes, I have. /No, I haven't.</t>
  </si>
  <si>
    <t>- Students review the lesson contents of Unit 5 &amp; 6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</si>
  <si>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</si>
  <si>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</si>
  <si>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</si>
  <si>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</si>
  <si>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</si>
  <si>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LESSON 35</t>
  </si>
  <si>
    <t>MID-TERM SPEAKING TEST
(Speaking test for students whose aren't finished)</t>
  </si>
  <si>
    <t>LESSON 36</t>
  </si>
  <si>
    <t>YLE STARTERS</t>
  </si>
  <si>
    <t>CAMBRIDGE MOCK TEST
LISTENING + READING + WRITING</t>
  </si>
  <si>
    <r>
      <rPr>
        <rFont val="Calibri"/>
        <b/>
        <color rgb="FFFF0000"/>
        <sz val="14.0"/>
      </rPr>
      <t xml:space="preserve">(40 minutes) Cambridge Pre-A1 Starters (YLE Starters)  MOCK TEST
Link test: </t>
    </r>
    <r>
      <rPr>
        <rFont val="Calibri"/>
        <b/>
        <color rgb="FF1155CC"/>
        <sz val="14.0"/>
        <u/>
      </rPr>
      <t>Pre-A1 Cambridge Mock Test</t>
    </r>
    <r>
      <rPr>
        <rFont val="Calibri"/>
        <b/>
        <color rgb="FFFF0000"/>
        <sz val="14.0"/>
      </rPr>
      <t xml:space="preserve"> 
(20 minutes) Test correction + Mini reflection 
(30 minutes): Game time</t>
    </r>
  </si>
  <si>
    <t>Stage 2: Explorer 2</t>
  </si>
  <si>
    <t>LESSON 37</t>
  </si>
  <si>
    <t>UNIT 7
WILD ANIMALS</t>
  </si>
  <si>
    <t>Animals: giraffe, hippo, crocodile, tiger, monkey, snake.</t>
  </si>
  <si>
    <t>What animal is it?
It's a....</t>
  </si>
  <si>
    <r>
      <rPr>
        <rFont val="Calibri"/>
        <b/>
        <color theme="1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How many bears? Three bears?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Sample video</t>
    </r>
    <r>
      <rPr>
        <rFont val="Calibri"/>
        <color theme="1"/>
        <sz val="12.0"/>
      </rPr>
      <t>: [Counting] How many bears? Three bears. (In the zoo) - Easy Dialogue - English video for Kids. - YouTube
(Teacher prepares the Questions list (if needed) )</t>
    </r>
  </si>
  <si>
    <t>LESSON 38</t>
  </si>
  <si>
    <t>- Review animals
- Review adjectives in Unit 5:  big, small, long, short, clean, dirty</t>
  </si>
  <si>
    <t>- Elephants are big and clean.
- Hippos are big and dirty.</t>
  </si>
  <si>
    <t>Students can use adj to say with animals</t>
  </si>
  <si>
    <t>LESSON 39</t>
  </si>
  <si>
    <t>50-51</t>
  </si>
  <si>
    <t>Body parts: hand, arm, foot, leg, tail, feet, 
- Review animals</t>
  </si>
  <si>
    <t>- They have got....</t>
  </si>
  <si>
    <t>- Students remember new words.
- Students can use structures and vocabulary to describe animals.</t>
  </si>
  <si>
    <t>LESSON 40</t>
  </si>
  <si>
    <t>52-53</t>
  </si>
  <si>
    <r>
      <rPr>
        <rFont val="Calibri"/>
        <color theme="1"/>
        <sz val="12.0"/>
        <u/>
      </rPr>
      <t>- Pronunciation: /i/
- The story
- Watching videos:
+ A day in the zoo</t>
    </r>
    <r>
      <rPr>
        <rFont val="Calibri"/>
        <b/>
        <color theme="1"/>
        <sz val="12.0"/>
        <u/>
      </rPr>
      <t xml:space="preserve">
</t>
    </r>
    <r>
      <rPr>
        <rFont val="Calibri"/>
        <b/>
        <color theme="1"/>
        <sz val="12.0"/>
      </rPr>
      <t>- (45 minutes) Unit 7 Speaking video</t>
    </r>
    <r>
      <rPr>
        <rFont val="Calibri"/>
        <color theme="1"/>
        <sz val="12.0"/>
      </rPr>
      <t xml:space="preserve">: UNIT 7_Speaking Project_Animals.pptx </t>
    </r>
  </si>
  <si>
    <t>/i/-/i/- fish, big.
Six big fish</t>
  </si>
  <si>
    <t>- Student learn some words start with /t/ sound in "Say it with Monty".
- With the story, make 3 question so students answer them after the story.
- For videos, students watch then play Mr. Crocodile game</t>
  </si>
  <si>
    <t>LESSON 41</t>
  </si>
  <si>
    <t>Review Unit 7 (vocabulary and structures)
- Animals
- Short adjectives</t>
  </si>
  <si>
    <t>LESSON 42</t>
  </si>
  <si>
    <t>UNIT 8
MY CLOTHES</t>
  </si>
  <si>
    <t>54-55</t>
  </si>
  <si>
    <t xml:space="preserve"> Clothes: T-shirt, skirt, socks, shoes, jacket, troursers.</t>
  </si>
  <si>
    <t>- What is this? It's a....
- What are they? They're ...</t>
  </si>
  <si>
    <r>
      <rPr>
        <rFont val="Calibri"/>
        <b/>
        <sz val="12.0"/>
      </rPr>
      <t xml:space="preserve">Video filming: </t>
    </r>
    <r>
      <rPr>
        <rFont val="Calibri"/>
        <sz val="12.0"/>
      </rPr>
      <t xml:space="preserve">
Students take turns to do the Role-play: (Divide the students into pairs) 
</t>
    </r>
    <r>
      <rPr>
        <rFont val="Calibri"/>
        <b/>
        <sz val="12.0"/>
      </rPr>
      <t>Topic: Put on your pants 
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https://www.youtube.com/watch?v=gtue7EAd_XI&amp;list=PLii5rkhsE0Ld3xCgxG6j5fw7RlG2S5czO&amp;index=90</t>
    </r>
    <r>
      <rPr>
        <rFont val="Calibri"/>
        <sz val="12.0"/>
      </rPr>
      <t xml:space="preserve"> 
(Teacher prepares the Questions list (if needed) )"
</t>
    </r>
  </si>
  <si>
    <t>LESSON 43</t>
  </si>
  <si>
    <t>56-57</t>
  </si>
  <si>
    <t>- Review Clothes
- Sing a song</t>
  </si>
  <si>
    <t>- He/She has got....</t>
  </si>
  <si>
    <t>- Students know the differenct between "He" and "She"
- Students can use structure to talk about clothes of friends.
- Students can sing a song together</t>
  </si>
  <si>
    <t>LESSON 44</t>
  </si>
  <si>
    <t>58-59</t>
  </si>
  <si>
    <t>- Pronunciation: /o/
- The story</t>
  </si>
  <si>
    <t>- Student learn some words start with /gr/ and /br/ sound in "Say it with Monty".
- With the story, make 3 question so students answer them after the story.</t>
  </si>
  <si>
    <t>LESSON 45</t>
  </si>
  <si>
    <t>60-61</t>
  </si>
  <si>
    <r>
      <rPr>
        <rFont val="Calibri"/>
        <color theme="1"/>
        <sz val="12.0"/>
      </rPr>
      <t>''''- Marie's geogrpahy: Habitats
- Forest, plain, river
- Trevor value: Love nature</t>
    </r>
    <r>
      <rPr>
        <rFont val="Calibri"/>
        <b/>
        <color theme="1"/>
        <sz val="12.0"/>
      </rPr>
      <t xml:space="preserve">
- (45 minutes) Unit 8 Speaking vide</t>
    </r>
    <r>
      <rPr>
        <rFont val="Calibri"/>
        <color theme="1"/>
        <sz val="12.0"/>
      </rPr>
      <t>o:  Unit 8_Speaking Project_Clothes (1).pptx</t>
    </r>
  </si>
  <si>
    <t>- Fish live in river.
- Tigers live in forest.</t>
  </si>
  <si>
    <t>- Students know the animals habitat.
- Understnd the value of love nature.</t>
  </si>
  <si>
    <t>LESSON 46</t>
  </si>
  <si>
    <t>Review Unit 8 (vocabulary and structures)
- Clothes</t>
  </si>
  <si>
    <t>LESSON 47</t>
  </si>
  <si>
    <t>UNIT 9
FUN TIME!</t>
  </si>
  <si>
    <t>- Activities: play the piano, play basketball, play the guitar, play tennis, play football, ride a bike, swim</t>
  </si>
  <si>
    <t>- What is this?
It's .....</t>
  </si>
  <si>
    <r>
      <rPr>
        <rFont val="Calibri"/>
        <b/>
        <color rgb="FFFF0000"/>
        <sz val="12.0"/>
      </rPr>
      <t xml:space="preserve">Video filming: </t>
    </r>
    <r>
      <rPr>
        <rFont val="Calibri"/>
        <sz val="12.0"/>
      </rPr>
      <t xml:space="preserve">
Students take turns to do the Role-play: (Divide the students into pairs) 
</t>
    </r>
    <r>
      <rPr>
        <rFont val="Calibri"/>
        <b/>
        <sz val="12.0"/>
      </rPr>
      <t xml:space="preserve">Topic: What's he doing? </t>
    </r>
    <r>
      <rPr>
        <rFont val="Calibri"/>
        <sz val="12.0"/>
      </rPr>
      <t xml:space="preserve">
</t>
    </r>
    <r>
      <rPr>
        <rFont val="Calibri"/>
        <b/>
        <sz val="12.0"/>
      </rPr>
      <t>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https://www.youtube.com/watch?v=JZrEqSnJ59s&amp;list=PLii5rkhsE0Ld3xCgxG6j5fw7RlG2S5czO&amp;index=79</t>
    </r>
    <r>
      <rPr>
        <rFont val="Calibri"/>
        <sz val="12.0"/>
      </rPr>
      <t xml:space="preserve"> 
(Teacher prepares the Questions list (if needed) )"</t>
    </r>
  </si>
  <si>
    <t>LESSON 48</t>
  </si>
  <si>
    <t>- Review activities: play the piano, play basketball, play the guitar, play tennis, play football, ride a bike, swim
- Sing a song</t>
  </si>
  <si>
    <t xml:space="preserve">- What can you do?
I can.....  </t>
  </si>
  <si>
    <t>- Students remember the words and use them with structure correctly.
- Students can sing a song together.</t>
  </si>
  <si>
    <t>LESSON 49</t>
  </si>
  <si>
    <t>66-67</t>
  </si>
  <si>
    <t>- Review activities</t>
  </si>
  <si>
    <t>- What can he/she do?
He/She can....
- He/She can't....
- Can you sing?
Yes, I can./ No, I can't.</t>
  </si>
  <si>
    <t>LESSON 50</t>
  </si>
  <si>
    <t>68-69</t>
  </si>
  <si>
    <r>
      <rPr>
        <rFont val="Calibri"/>
        <color theme="1"/>
        <sz val="12.0"/>
      </rPr>
      <t>''''- Pronunciation: /l/
- The story</t>
    </r>
    <r>
      <rPr>
        <rFont val="Calibri"/>
        <b/>
        <color theme="1"/>
        <sz val="12.0"/>
      </rPr>
      <t xml:space="preserve">
- (45 minutes) Unit 9 Speaking video</t>
    </r>
    <r>
      <rPr>
        <rFont val="Calibri"/>
        <color theme="1"/>
        <sz val="12.0"/>
      </rPr>
      <t>: Unit 9_Speaking Project_FunTime.pptx</t>
    </r>
  </si>
  <si>
    <t>/l/-/l/- Lily, blue
Lily's got a blue and yellow tail.</t>
  </si>
  <si>
    <t>- Student learn some words start with /l/ sound in "Say it with Monty".
- With the story, make 3 question so students answer them after the story.</t>
  </si>
  <si>
    <t>LESSON 51</t>
  </si>
  <si>
    <t>Review Unit 9 (vocabulary and structures)
- Activities</t>
  </si>
  <si>
    <t>LESSON 52</t>
  </si>
  <si>
    <t>UNIT 10
AT THE FUNFAIR</t>
  </si>
  <si>
    <t>70-71</t>
  </si>
  <si>
    <t>- Transports: lorry, plane, boat, helicopter, motorbike, bus</t>
  </si>
  <si>
    <t>- What's this?
It's a...
- Is the red car in the shoe?
Yes, it is./ No, it isn't.</t>
  </si>
  <si>
    <r>
      <rPr>
        <rFont val="Calibri"/>
        <b/>
        <sz val="12.0"/>
      </rPr>
      <t xml:space="preserve">Video filming: 
Students take turns to do the Role-play: (Divide the students into pairs) </t>
    </r>
    <r>
      <rPr>
        <rFont val="Calibri"/>
        <sz val="12.0"/>
      </rPr>
      <t xml:space="preserve">
</t>
    </r>
    <r>
      <rPr>
        <rFont val="Calibri"/>
        <b/>
        <sz val="12.0"/>
      </rPr>
      <t>Topic:</t>
    </r>
    <r>
      <rPr>
        <rFont val="Calibri"/>
        <sz val="12.0"/>
      </rPr>
      <t xml:space="preserve"> Whose bike is this? 
</t>
    </r>
    <r>
      <rPr>
        <rFont val="Calibri"/>
        <b/>
        <sz val="12.0"/>
      </rPr>
      <t>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https://www.youtube.com/watch?v=nsqfrAF7OLI&amp;list=PLii5rkhsE0Ld3xCgxG6j5fw7RlG2S5czO&amp;index=73</t>
    </r>
    <r>
      <rPr>
        <rFont val="Calibri"/>
        <sz val="12.0"/>
      </rPr>
      <t xml:space="preserve"> 
(Teacher prepares the Questions list (if needed) )"</t>
    </r>
  </si>
  <si>
    <t>LESSON 53</t>
  </si>
  <si>
    <t>72-73</t>
  </si>
  <si>
    <t>- Review transports
- Verb-ing: driving, flying, riding, walking
- Sing a song</t>
  </si>
  <si>
    <t>- What are you doing?
I'm .....</t>
  </si>
  <si>
    <t>- Students can use grammar correctly</t>
  </si>
  <si>
    <t>LESSON 54</t>
  </si>
  <si>
    <t>74-75</t>
  </si>
  <si>
    <t>- Pronunciation: /u/
- The story
+ Walk around London</t>
  </si>
  <si>
    <t>/u/-duck, under, bus
The ducks are under the bus.</t>
  </si>
  <si>
    <t>- Student learn some words start with /u/ sound in "Say it with Monty".
- With the story, make 3 question so students answer them after the story.
- With videos, students can know what they see in London.</t>
  </si>
  <si>
    <t>LESSON 55</t>
  </si>
  <si>
    <t>76-77</t>
  </si>
  <si>
    <t>''- Marie's sports: Things for sports
- Trevor value: Work in teams
- (45 minutes) Unit 10 Speaking video: Unit 10_Speaking Project_At the funfair (Transport).pptx</t>
  </si>
  <si>
    <t>- They've got....
- They're.....</t>
  </si>
  <si>
    <t>- Students know things for each sports
- Students understand the value</t>
  </si>
  <si>
    <t>LESSON 56</t>
  </si>
  <si>
    <t>Review Unit 10 (vocabulary and structures)
- Transports
- Verb-ing</t>
  </si>
  <si>
    <t>LESSON 57</t>
  </si>
  <si>
    <t>UNIT 11
OUR HOUSE</t>
  </si>
  <si>
    <t>Rooms: bedroom, bathroom, living room, dining room, kitchen, hall</t>
  </si>
  <si>
    <t>- What room is it?
It's a.....</t>
  </si>
  <si>
    <r>
      <rPr>
        <rFont val="Calibri"/>
        <b/>
        <sz val="12.0"/>
      </rPr>
      <t>Video filming: 
Students take turns to do the Role-play: (Divide the students into pairs) 
Topic:</t>
    </r>
    <r>
      <rPr>
        <rFont val="Calibri"/>
        <sz val="12.0"/>
      </rPr>
      <t xml:space="preserve"> Where is the restroom?
</t>
    </r>
    <r>
      <rPr>
        <rFont val="Calibri"/>
        <b/>
        <sz val="12.0"/>
      </rPr>
      <t>Sample video</t>
    </r>
    <r>
      <rPr>
        <rFont val="Calibri"/>
        <sz val="12.0"/>
      </rPr>
      <t xml:space="preserve">: </t>
    </r>
    <r>
      <rPr>
        <rFont val="Calibri"/>
        <color rgb="FF1155CC"/>
        <sz val="12.0"/>
        <u/>
      </rPr>
      <t>https://www.youtube.com/watch?v=r_CgoRykri8&amp;list=PLii5rkhsE0Ld3xCgxG6j5fw7RlG2S5czO&amp;index=44</t>
    </r>
    <r>
      <rPr>
        <rFont val="Calibri"/>
        <sz val="12.0"/>
      </rPr>
      <t xml:space="preserve"> 
(Teacher prepares the Questions list (if needed) )"
</t>
    </r>
  </si>
  <si>
    <t>LESSON 58</t>
  </si>
  <si>
    <t>- Review rooms</t>
  </si>
  <si>
    <t>- Where is the computer?
It's in the kitchen.
- He/She is in the ....</t>
  </si>
  <si>
    <t>LESSON 59</t>
  </si>
  <si>
    <t>80-81</t>
  </si>
  <si>
    <t>- Verb-ing: Drawing, playing, reading, painting, listening
- Sing a song</t>
  </si>
  <si>
    <t>- Present continuous
He/She is Verb-ing.</t>
  </si>
  <si>
    <t>- Students remember the verb
- Students can use grammar correctly</t>
  </si>
  <si>
    <t>LESSON 60</t>
  </si>
  <si>
    <t>82-83</t>
  </si>
  <si>
    <r>
      <rPr>
        <rFont val="Calibri"/>
        <color theme="1"/>
        <sz val="12.0"/>
      </rPr>
      <t>''- Pronunciation: /h/
- The stor</t>
    </r>
    <r>
      <rPr>
        <rFont val="Calibri"/>
        <b/>
        <color theme="1"/>
        <sz val="12.0"/>
      </rPr>
      <t>y
-(45 minutes) Unit 11 Speaking video</t>
    </r>
    <r>
      <rPr>
        <rFont val="Calibri"/>
        <color theme="1"/>
        <sz val="12.0"/>
      </rPr>
      <t>: Unit 11_Speaking Project_Our house .pptx</t>
    </r>
  </si>
  <si>
    <t>/h/- horse, hippo
A horse and a hippo in a helicopter.</t>
  </si>
  <si>
    <t>LESSON 61</t>
  </si>
  <si>
    <t>Review Unit 11 (vocabulary and structures)
- Rooms</t>
  </si>
  <si>
    <t>LESSON 62</t>
  </si>
  <si>
    <t>UNIT 12
PARTY TIME!</t>
  </si>
  <si>
    <t>84-85</t>
  </si>
  <si>
    <t>- Food: apple, ice cream, banana, cake, burger, chocolate</t>
  </si>
  <si>
    <t>- What's this?
It's a/an......</t>
  </si>
  <si>
    <r>
      <rPr>
        <rFont val="Calibri"/>
        <b/>
        <sz val="12.0"/>
      </rPr>
      <t>Video filming: 
Students take turns to do the Role-play: (Divide the students into pairs) 
Topic:</t>
    </r>
    <r>
      <rPr>
        <rFont val="Calibri"/>
        <sz val="12.0"/>
      </rPr>
      <t xml:space="preserve"> I'm making cookies 
Sample video: </t>
    </r>
    <r>
      <rPr>
        <rFont val="Calibri"/>
        <color rgb="FF1155CC"/>
        <sz val="12.0"/>
        <u/>
      </rPr>
      <t>https://www.youtube.com/watch?v=jj1kcfnOaN4&amp;list=PLii5rkhsE0Ld3xCgxG6j5fw7RlG2S5czO&amp;index=40</t>
    </r>
    <r>
      <rPr>
        <rFont val="Calibri"/>
        <sz val="12.0"/>
      </rPr>
      <t xml:space="preserve"> 
(Teacher prepares the Questions list (if needed) )"
</t>
    </r>
  </si>
  <si>
    <t>LESSON 63</t>
  </si>
  <si>
    <t>86-87</t>
  </si>
  <si>
    <t>- Review food</t>
  </si>
  <si>
    <t>- I like/ don't like...
- Do you like...?
+ Yes, I do./ No, I don't.</t>
  </si>
  <si>
    <t>Students can use grammar correctly</t>
  </si>
  <si>
    <t>LESSON 64</t>
  </si>
  <si>
    <t>88-89</t>
  </si>
  <si>
    <t>- Pronunciation: /ie/
- The story
- Video: In the kitchen</t>
  </si>
  <si>
    <t>- Student learn some words start with /u/ sound in "Say it with Monty".
- With the story, make 3 question so students answer them after the story.
- With videos, students know how to make a chocolate cake.</t>
  </si>
  <si>
    <t>LESSON 65</t>
  </si>
  <si>
    <t>90-91</t>
  </si>
  <si>
    <r>
      <rPr>
        <rFont val="Calibri"/>
        <color theme="1"/>
        <sz val="12.0"/>
      </rPr>
      <t>'- Marie's art: Fruit in paintings
- Painting, grapes, lemon, pear, watermelon
- Trevor value: Keep clean</t>
    </r>
    <r>
      <rPr>
        <rFont val="Calibri"/>
        <b/>
        <color theme="1"/>
        <sz val="12.0"/>
      </rPr>
      <t xml:space="preserve">
- (45 minutes) Unit 12 Speaking video:</t>
    </r>
    <r>
      <rPr>
        <rFont val="Calibri"/>
        <color theme="1"/>
        <sz val="12.0"/>
      </rPr>
      <t xml:space="preserve"> Unit 12_Speaking Project_Party time!.pptx</t>
    </r>
  </si>
  <si>
    <t>- Students know pictures made by fruit
- Students understand the value</t>
  </si>
  <si>
    <t>LESSON 66</t>
  </si>
  <si>
    <t>Review Unit 12 (vocabulary and structures)
- Food</t>
  </si>
  <si>
    <t>LESSON 67</t>
  </si>
  <si>
    <t>Review all vocabularies of Unit 7 and 8</t>
  </si>
  <si>
    <t>- Elephants are big and clean.
- Hippos are big and dirty.
- He/She has got....</t>
  </si>
  <si>
    <t>- Students review the lesson contents of Unit 7 &amp; 8</t>
  </si>
  <si>
    <t>Unit 7-8
Game 1 &amp; 2</t>
  </si>
  <si>
    <t>LESSON 68</t>
  </si>
  <si>
    <t>48-61</t>
  </si>
  <si>
    <t>Review all vocabularies of Unit 9 and 10</t>
  </si>
  <si>
    <t>- What can he/she do?
He/She can....
- He/She can't....
- Can you sing?
Yes, I can./ No, I can't.
- What are you doing?
I'm .....</t>
  </si>
  <si>
    <t>- Students review the lesson contents from unit 9 &amp; 10</t>
  </si>
  <si>
    <t>Unit 9-10
Game 1 &amp; 2</t>
  </si>
  <si>
    <t>LESSON 69</t>
  </si>
  <si>
    <t>64-77</t>
  </si>
  <si>
    <t>Review all vocabularies from Unit 11 and 12</t>
  </si>
  <si>
    <t>- Where is the computer?
It's in the kitchen.
- He/She is in the ....
- I like/ don't like...
- Do you like...?
+ Yes, I do./ No, I don't.</t>
  </si>
  <si>
    <t>- Students review the lesson contents from unit 11 &amp; 12</t>
  </si>
  <si>
    <t>Unit 11-12
Game 1 &amp; 2</t>
  </si>
  <si>
    <t>LESSON 70</t>
  </si>
  <si>
    <t>END OF TERM</t>
  </si>
  <si>
    <t>END OF TERM TEST - READING, WRITING AND SPEAKING
(Speaking test for students whose finish the reading and writing test early. Teachers prepare extra materials for students)</t>
  </si>
  <si>
    <t>Sun Final class pack</t>
  </si>
  <si>
    <t>LESSON 71</t>
  </si>
  <si>
    <t>END OF TERM SPEAKING TEST
(Speaking test for students whose didn't finish the test in lesson 70)</t>
  </si>
  <si>
    <t>LESSON 72</t>
  </si>
  <si>
    <t>GRADUATION</t>
  </si>
  <si>
    <t xml:space="preserve"> GRADUATION 
Graduation_Moon + Sun (1).pptx</t>
  </si>
  <si>
    <t>Tổng quan chương trình (Sun,Moon,Galax)</t>
  </si>
  <si>
    <t>Grade</t>
  </si>
  <si>
    <t>SUN 1</t>
  </si>
  <si>
    <t>UNITS</t>
  </si>
  <si>
    <t xml:space="preserve">Student's book
 &amp; Activity's book pages 
</t>
  </si>
  <si>
    <t>Homework Handbook page no.</t>
  </si>
  <si>
    <t>Homework E-learning</t>
  </si>
  <si>
    <t>Lesson 55</t>
  </si>
  <si>
    <t>Homework Handbook</t>
  </si>
  <si>
    <t xml:space="preserve"> E-learning</t>
  </si>
  <si>
    <t>UNIT 10 Grammar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</si>
</sst>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/mm"/>
  </numFmts>
  <fonts count="39">
    <font>
      <sz val="11.0"/>
      <color theme="1"/>
      <name val="Calibri"/>
      <scheme val="minor"/>
    </font>
    <font>
      <b/>
      <sz val="28.0"/>
      <color theme="1"/>
      <name val="Calibri"/>
    </font>
    <font/>
    <font>
      <b/>
      <sz val="12.0"/>
      <color theme="1"/>
      <name val="Calibri"/>
    </font>
    <font>
      <b/>
      <sz val="18.0"/>
      <color theme="1"/>
      <name val="Calibri"/>
    </font>
    <font>
      <b/>
      <sz val="2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color theme="1"/>
      <name val="Calibri"/>
    </font>
    <font>
      <b/>
      <sz val="14.0"/>
      <color theme="1"/>
      <name val="Calibri"/>
    </font>
    <font>
      <b/>
      <u/>
      <sz val="12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b/>
      <sz val="12.0"/>
      <color rgb="FFFF0000"/>
      <name val="Calibri"/>
    </font>
    <font>
      <b/>
      <u/>
      <sz val="14.0"/>
      <color rgb="FFFF0000"/>
      <name val="Calibri"/>
    </font>
    <font>
      <b/>
      <sz val="14.0"/>
      <color rgb="FFFF0000"/>
      <name val="Calibri"/>
    </font>
    <font>
      <u/>
      <sz val="12.0"/>
      <color rgb="FF1155CC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theme="1"/>
      <name val="Calibri"/>
    </font>
    <font>
      <b/>
      <u/>
      <sz val="14.0"/>
      <color theme="1"/>
      <name val="Calibri"/>
    </font>
    <font>
      <u/>
      <sz val="13.0"/>
      <color theme="1"/>
      <name val="Calibri"/>
    </font>
    <font>
      <b/>
      <sz val="13.0"/>
      <color theme="1"/>
      <name val="Calibri"/>
    </font>
    <font>
      <b/>
      <color rgb="FFFF0000"/>
      <name val="Calibri"/>
    </font>
    <font>
      <b/>
      <color theme="1"/>
      <name val="Calibri"/>
    </font>
    <font>
      <u/>
      <color rgb="FF0000FF"/>
      <name val="Roboto"/>
    </font>
    <font>
      <b/>
      <color rgb="FFA61C00"/>
      <name val="Calibri"/>
    </font>
    <font>
      <b/>
      <sz val="13.0"/>
      <color theme="1"/>
      <name val="Roboto"/>
    </font>
    <font>
      <b/>
      <sz val="10.0"/>
      <color rgb="FFA61C00"/>
      <name val="Calibri"/>
    </font>
    <font>
      <u/>
      <color theme="1"/>
      <name val="Calibri"/>
    </font>
    <font>
      <b/>
      <sz val="12.0"/>
      <color rgb="FFCC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5" fillId="0" fontId="2" numFmtId="0" xfId="0" applyBorder="1" applyFont="1"/>
    <xf borderId="1" fillId="3" fontId="3" numFmtId="0" xfId="0" applyAlignment="1" applyBorder="1" applyFont="1">
      <alignment horizontal="center" vertical="center"/>
    </xf>
    <xf borderId="6" fillId="0" fontId="2" numFmtId="0" xfId="0" applyBorder="1" applyFont="1"/>
    <xf borderId="7" fillId="3" fontId="3" numFmtId="0" xfId="0" applyAlignment="1" applyBorder="1" applyFont="1">
      <alignment horizontal="center" shrinkToFit="0" vertical="center" wrapText="1"/>
    </xf>
    <xf borderId="8" fillId="4" fontId="5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5" fontId="6" numFmtId="164" xfId="0" applyBorder="1" applyFill="1" applyFont="1" applyNumberFormat="1"/>
    <xf borderId="11" fillId="5" fontId="7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center" shrinkToFit="0" vertical="center" wrapText="1"/>
    </xf>
    <xf borderId="10" fillId="5" fontId="7" numFmtId="0" xfId="0" applyAlignment="1" applyBorder="1" applyFont="1">
      <alignment horizontal="center" vertical="center"/>
    </xf>
    <xf borderId="11" fillId="5" fontId="7" numFmtId="0" xfId="0" applyAlignment="1" applyBorder="1" applyFont="1">
      <alignment shrinkToFit="0" vertical="center" wrapText="1"/>
    </xf>
    <xf borderId="11" fillId="5" fontId="9" numFmtId="0" xfId="0" applyAlignment="1" applyBorder="1" applyFont="1">
      <alignment shrinkToFit="0" vertical="center" wrapText="1"/>
    </xf>
    <xf borderId="12" fillId="5" fontId="10" numFmtId="0" xfId="0" applyAlignment="1" applyBorder="1" applyFont="1">
      <alignment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quotePrefix="1" borderId="11" fillId="5" fontId="7" numFmtId="16" xfId="0" applyAlignment="1" applyBorder="1" applyFont="1" applyNumberFormat="1">
      <alignment horizontal="center" vertical="center"/>
    </xf>
    <xf borderId="10" fillId="0" fontId="2" numFmtId="0" xfId="0" applyBorder="1" applyFont="1"/>
    <xf borderId="11" fillId="5" fontId="12" numFmtId="0" xfId="0" applyAlignment="1" applyBorder="1" applyFont="1">
      <alignment horizontal="center" shrinkToFit="0" vertical="center" wrapText="1"/>
    </xf>
    <xf quotePrefix="1" borderId="11" fillId="5" fontId="3" numFmtId="0" xfId="0" applyAlignment="1" applyBorder="1" applyFont="1">
      <alignment horizontal="center" vertical="center"/>
    </xf>
    <xf borderId="11" fillId="5" fontId="13" numFmtId="0" xfId="0" applyAlignment="1" applyBorder="1" applyFont="1">
      <alignment shrinkToFit="0" vertical="center" wrapText="1"/>
    </xf>
    <xf borderId="11" fillId="5" fontId="3" numFmtId="0" xfId="0" applyAlignment="1" applyBorder="1" applyFont="1">
      <alignment shrinkToFit="0" vertical="center" wrapText="1"/>
    </xf>
    <xf quotePrefix="1" borderId="11" fillId="5" fontId="3" numFmtId="0" xfId="0" applyAlignment="1" applyBorder="1" applyFont="1">
      <alignment shrinkToFit="0" vertical="center" wrapText="1"/>
    </xf>
    <xf borderId="11" fillId="5" fontId="3" numFmtId="0" xfId="0" applyAlignment="1" applyBorder="1" applyFont="1">
      <alignment horizontal="center" vertical="center"/>
    </xf>
    <xf quotePrefix="1" borderId="11" fillId="5" fontId="3" numFmtId="0" xfId="0" applyAlignment="1" applyBorder="1" applyFont="1">
      <alignment horizontal="center" shrinkToFit="0" vertical="center" wrapText="1"/>
    </xf>
    <xf borderId="11" fillId="6" fontId="3" numFmtId="0" xfId="0" applyAlignment="1" applyBorder="1" applyFill="1" applyFont="1">
      <alignment horizontal="center" shrinkToFit="0" vertical="center" wrapText="1"/>
    </xf>
    <xf quotePrefix="1" borderId="11" fillId="5" fontId="7" numFmtId="0" xfId="0" applyAlignment="1" applyBorder="1" applyFont="1">
      <alignment shrinkToFit="0" vertical="center" wrapText="1"/>
    </xf>
    <xf borderId="11" fillId="5" fontId="14" numFmtId="0" xfId="0" applyAlignment="1" applyBorder="1" applyFont="1">
      <alignment horizontal="center" shrinkToFit="0" vertical="center" wrapText="1"/>
    </xf>
    <xf quotePrefix="1" borderId="11" fillId="5" fontId="7" numFmtId="0" xfId="0" applyAlignment="1" applyBorder="1" applyFont="1">
      <alignment horizontal="center" shrinkToFit="0" vertical="center" wrapText="1"/>
    </xf>
    <xf borderId="0" fillId="7" fontId="11" numFmtId="0" xfId="0" applyAlignment="1" applyFill="1" applyFont="1">
      <alignment vertical="center"/>
    </xf>
    <xf borderId="0" fillId="7" fontId="11" numFmtId="0" xfId="0" applyFont="1"/>
    <xf quotePrefix="1" borderId="11" fillId="5" fontId="7" numFmtId="17" xfId="0" applyAlignment="1" applyBorder="1" applyFont="1" applyNumberFormat="1">
      <alignment horizontal="center" vertical="center"/>
    </xf>
    <xf borderId="12" fillId="5" fontId="15" numFmtId="0" xfId="0" applyAlignment="1" applyBorder="1" applyFont="1">
      <alignment shrinkToFit="0" vertical="center" wrapText="1"/>
    </xf>
    <xf borderId="11" fillId="5" fontId="6" numFmtId="164" xfId="0" applyAlignment="1" applyBorder="1" applyFont="1" applyNumberFormat="1">
      <alignment readingOrder="0"/>
    </xf>
    <xf borderId="11" fillId="5" fontId="6" numFmtId="164" xfId="0" applyBorder="1" applyFont="1" applyNumberFormat="1"/>
    <xf borderId="11" fillId="5" fontId="16" numFmtId="0" xfId="0" applyAlignment="1" applyBorder="1" applyFont="1">
      <alignment shrinkToFit="0" vertical="center" wrapText="1"/>
    </xf>
    <xf quotePrefix="1" borderId="11" fillId="5" fontId="7" numFmtId="0" xfId="0" applyAlignment="1" applyBorder="1" applyFont="1">
      <alignment horizontal="center" vertical="center"/>
    </xf>
    <xf borderId="11" fillId="5" fontId="3" numFmtId="0" xfId="0" applyAlignment="1" applyBorder="1" applyFont="1">
      <alignment horizontal="center" shrinkToFit="0" vertical="center" wrapText="1"/>
    </xf>
    <xf borderId="11" fillId="5" fontId="17" numFmtId="0" xfId="0" applyAlignment="1" applyBorder="1" applyFont="1">
      <alignment shrinkToFit="0" vertical="center" wrapText="1"/>
    </xf>
    <xf borderId="0" fillId="5" fontId="11" numFmtId="0" xfId="0" applyAlignment="1" applyFont="1">
      <alignment vertical="center"/>
    </xf>
    <xf borderId="0" fillId="5" fontId="11" numFmtId="0" xfId="0" applyFont="1"/>
    <xf borderId="11" fillId="5" fontId="6" numFmtId="0" xfId="0" applyAlignment="1" applyBorder="1" applyFont="1">
      <alignment vertical="center"/>
    </xf>
    <xf borderId="11" fillId="5" fontId="18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shrinkToFit="0" vertical="center" wrapText="1"/>
    </xf>
    <xf quotePrefix="1" borderId="12" fillId="5" fontId="7" numFmtId="0" xfId="0" applyAlignment="1" applyBorder="1" applyFont="1">
      <alignment shrinkToFit="0" vertical="center" wrapText="1"/>
    </xf>
    <xf borderId="12" fillId="5" fontId="19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vertical="center"/>
    </xf>
    <xf borderId="4" fillId="5" fontId="3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vertical="center"/>
    </xf>
    <xf borderId="11" fillId="7" fontId="20" numFmtId="0" xfId="0" applyAlignment="1" applyBorder="1" applyFont="1">
      <alignment horizontal="center" shrinkToFit="0" wrapText="1"/>
    </xf>
    <xf borderId="13" fillId="0" fontId="21" numFmtId="0" xfId="0" applyAlignment="1" applyBorder="1" applyFont="1">
      <alignment horizontal="center" shrinkToFit="0" wrapText="1"/>
    </xf>
    <xf borderId="14" fillId="0" fontId="2" numFmtId="0" xfId="0" applyBorder="1" applyFont="1"/>
    <xf borderId="15" fillId="0" fontId="2" numFmtId="0" xfId="0" applyBorder="1" applyFont="1"/>
    <xf borderId="5" fillId="0" fontId="22" numFmtId="0" xfId="0" applyAlignment="1" applyBorder="1" applyFont="1">
      <alignment horizontal="center" shrinkToFit="0" wrapText="1"/>
    </xf>
    <xf borderId="16" fillId="2" fontId="5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0" fillId="5" fontId="8" numFmtId="0" xfId="0" applyAlignment="1" applyBorder="1" applyFont="1">
      <alignment horizontal="center" shrinkToFit="0" wrapText="1"/>
    </xf>
    <xf borderId="11" fillId="5" fontId="7" numFmtId="0" xfId="0" applyAlignment="1" applyBorder="1" applyFont="1">
      <alignment horizontal="center"/>
    </xf>
    <xf borderId="11" fillId="5" fontId="7" numFmtId="0" xfId="0" applyAlignment="1" applyBorder="1" applyFont="1">
      <alignment shrinkToFit="0" wrapText="1"/>
    </xf>
    <xf quotePrefix="1" borderId="11" fillId="5" fontId="7" numFmtId="0" xfId="0" applyAlignment="1" applyBorder="1" applyFont="1">
      <alignment shrinkToFit="0" wrapText="1"/>
    </xf>
    <xf borderId="11" fillId="5" fontId="7" numFmtId="0" xfId="0" applyAlignment="1" applyBorder="1" applyFont="1">
      <alignment horizontal="center" shrinkToFit="0" wrapText="1"/>
    </xf>
    <xf borderId="11" fillId="5" fontId="8" numFmtId="0" xfId="0" applyAlignment="1" applyBorder="1" applyFont="1">
      <alignment horizontal="center" shrinkToFit="0" wrapText="1"/>
    </xf>
    <xf borderId="11" fillId="5" fontId="6" numFmtId="164" xfId="0" applyAlignment="1" applyBorder="1" applyFont="1" applyNumberFormat="1">
      <alignment vertical="center"/>
    </xf>
    <xf quotePrefix="1" borderId="11" fillId="5" fontId="7" numFmtId="0" xfId="0" applyAlignment="1" applyBorder="1" applyFont="1">
      <alignment horizontal="center" shrinkToFit="0" wrapText="1"/>
    </xf>
    <xf borderId="11" fillId="5" fontId="3" numFmtId="0" xfId="0" applyAlignment="1" applyBorder="1" applyFont="1">
      <alignment horizontal="center" shrinkToFit="0" wrapText="1"/>
    </xf>
    <xf borderId="11" fillId="5" fontId="23" numFmtId="0" xfId="0" applyAlignment="1" applyBorder="1" applyFont="1">
      <alignment horizontal="center" shrinkToFit="0" wrapText="1"/>
    </xf>
    <xf borderId="12" fillId="5" fontId="24" numFmtId="0" xfId="0" applyAlignment="1" applyBorder="1" applyFont="1">
      <alignment shrinkToFit="0" vertical="center" wrapText="1"/>
    </xf>
    <xf borderId="11" fillId="5" fontId="25" numFmtId="0" xfId="0" applyAlignment="1" applyBorder="1" applyFont="1">
      <alignment shrinkToFit="0" wrapText="1"/>
    </xf>
    <xf quotePrefix="1" borderId="11" fillId="5" fontId="7" numFmtId="164" xfId="0" applyBorder="1" applyFont="1" applyNumberFormat="1"/>
    <xf quotePrefix="1" borderId="11" fillId="5" fontId="26" numFmtId="0" xfId="0" applyAlignment="1" applyBorder="1" applyFont="1">
      <alignment shrinkToFit="0" vertical="center" wrapText="1"/>
    </xf>
    <xf borderId="11" fillId="5" fontId="6" numFmtId="164" xfId="0" applyAlignment="1" applyBorder="1" applyFont="1" applyNumberFormat="1">
      <alignment readingOrder="0" vertical="center"/>
    </xf>
    <xf borderId="11" fillId="5" fontId="6" numFmtId="165" xfId="0" applyAlignment="1" applyBorder="1" applyFont="1" applyNumberFormat="1">
      <alignment readingOrder="0" vertical="center"/>
    </xf>
    <xf borderId="11" fillId="0" fontId="7" numFmtId="164" xfId="0" applyAlignment="1" applyBorder="1" applyFont="1" applyNumberFormat="1">
      <alignment horizontal="center" shrinkToFit="0" vertical="center" wrapText="1"/>
    </xf>
    <xf borderId="11" fillId="0" fontId="7" numFmtId="166" xfId="0" applyAlignment="1" applyBorder="1" applyFont="1" applyNumberFormat="1">
      <alignment horizontal="center" shrinkToFit="0" vertical="center" wrapText="1"/>
    </xf>
    <xf borderId="11" fillId="0" fontId="7" numFmtId="164" xfId="0" applyAlignment="1" applyBorder="1" applyFont="1" applyNumberFormat="1">
      <alignment horizontal="center" vertical="center"/>
    </xf>
    <xf borderId="15" fillId="5" fontId="8" numFmtId="0" xfId="0" applyAlignment="1" applyBorder="1" applyFont="1">
      <alignment horizontal="center" shrinkToFit="0" vertical="center" wrapText="1"/>
    </xf>
    <xf borderId="19" fillId="5" fontId="3" numFmtId="0" xfId="0" applyAlignment="1" applyBorder="1" applyFont="1">
      <alignment horizontal="center" vertical="center"/>
    </xf>
    <xf borderId="4" fillId="5" fontId="27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20" fillId="5" fontId="6" numFmtId="164" xfId="0" applyAlignment="1" applyBorder="1" applyFont="1" applyNumberFormat="1">
      <alignment vertical="center"/>
    </xf>
    <xf borderId="21" fillId="5" fontId="8" numFmtId="0" xfId="0" applyAlignment="1" applyBorder="1" applyFont="1">
      <alignment horizontal="center" shrinkToFit="0" vertical="center" wrapText="1"/>
    </xf>
    <xf borderId="22" fillId="5" fontId="6" numFmtId="0" xfId="0" applyAlignment="1" applyBorder="1" applyFont="1">
      <alignment vertical="center"/>
    </xf>
    <xf borderId="1" fillId="0" fontId="28" numFmtId="0" xfId="0" applyAlignment="1" applyBorder="1" applyFont="1">
      <alignment horizontal="center" shrinkToFit="0" vertical="center" wrapText="1"/>
    </xf>
    <xf borderId="7" fillId="0" fontId="29" numFmtId="0" xfId="0" applyAlignment="1" applyBorder="1" applyFont="1">
      <alignment horizontal="center" shrinkToFit="0" vertical="center" wrapText="1"/>
    </xf>
    <xf borderId="0" fillId="0" fontId="11" numFmtId="164" xfId="0" applyFont="1" applyNumberFormat="1"/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30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shrinkToFit="0" vertical="center" wrapText="1"/>
    </xf>
    <xf borderId="11" fillId="5" fontId="7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31" numFmtId="0" xfId="0" applyAlignment="1" applyFont="1">
      <alignment shrinkToFit="0" vertical="top" wrapText="1"/>
    </xf>
    <xf borderId="0" fillId="0" fontId="33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34" numFmtId="0" xfId="0" applyAlignment="1" applyFont="1">
      <alignment shrinkToFit="0" vertical="center" wrapText="1"/>
    </xf>
    <xf borderId="11" fillId="5" fontId="35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shrinkToFit="0" vertical="center" wrapText="1"/>
    </xf>
    <xf borderId="0" fillId="0" fontId="34" numFmtId="0" xfId="0" applyAlignment="1" applyFont="1">
      <alignment shrinkToFit="0" vertical="top" wrapText="1"/>
    </xf>
    <xf borderId="0" fillId="0" fontId="37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38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Lesson Report-style">
      <tableStyleElement dxfId="1" type="headerRow"/>
      <tableStyleElement dxfId="2" type="firstRowStripe"/>
      <tableStyleElement dxfId="3" type="secondRowStripe"/>
    </tableStyle>
    <tableStyle count="3" pivot="0" name="Trang tính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12" displayName="Table_1" name="Table_1" id="1">
  <tableColumns count="2">
    <tableColumn name="Grade" id="1"/>
    <tableColumn name="SUN 1" id="2"/>
  </tableColumns>
  <tableStyleInfo name="Lesson Report-style" showColumnStripes="0" showFirstColumn="1" showLastColumn="1" showRowStripes="1"/>
</table>
</file>

<file path=xl/tables/table2.xml><?xml version="1.0" encoding="utf-8"?>
<table xmlns="http://schemas.openxmlformats.org/spreadsheetml/2006/main" ref="B4:C12" displayName="Table_2" name="Table_2" id="2">
  <tableColumns count="2">
    <tableColumn name="Grade" id="1"/>
    <tableColumn name="SUN 1" id="2"/>
  </tableColumns>
  <tableStyleInfo name="Trang tính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JZrEqSnJ59s&amp;list=PLii5rkhsE0Ld3xCgxG6j5fw7RlG2S5czO&amp;index=79" TargetMode="External"/><Relationship Id="rId22" Type="http://schemas.openxmlformats.org/officeDocument/2006/relationships/hyperlink" Target="https://www.youtube.com/watch?v=nsqfrAF7OLI&amp;list=PLii5rkhsE0Ld3xCgxG6j5fw7RlG2S5czO&amp;index=73" TargetMode="External"/><Relationship Id="rId21" Type="http://schemas.openxmlformats.org/officeDocument/2006/relationships/hyperlink" Target="https://docs.google.com/presentation/d/1zD0eherV_TdnIIJ0vj4cLD1pyt2EsJqk/edit?slide=id.p1" TargetMode="External"/><Relationship Id="rId24" Type="http://schemas.openxmlformats.org/officeDocument/2006/relationships/hyperlink" Target="https://www.youtube.com/watch?v=r_CgoRykri8&amp;list=PLii5rkhsE0Ld3xCgxG6j5fw7RlG2S5czO&amp;index=44" TargetMode="External"/><Relationship Id="rId23" Type="http://schemas.openxmlformats.org/officeDocument/2006/relationships/hyperlink" Target="https://docs.google.com/presentation/d/1rZEGwn7rT0E-Bap7JEiIfE4TTkc8_Fx5/edit?slide=id.p1" TargetMode="External"/><Relationship Id="rId1" Type="http://schemas.openxmlformats.org/officeDocument/2006/relationships/hyperlink" Target="https://www.youtube.com/watch?v=U8EVo5-4eJs" TargetMode="External"/><Relationship Id="rId2" Type="http://schemas.openxmlformats.org/officeDocument/2006/relationships/hyperlink" Target="https://docs.google.com/presentation/d/1fLwQZjZ5v7GbPWPxhyGgWQRWdAzDb_9x/edit?slide=id.p1" TargetMode="External"/><Relationship Id="rId3" Type="http://schemas.openxmlformats.org/officeDocument/2006/relationships/hyperlink" Target="https://www.youtube.com/watch?v=rmu9rEf2jRo" TargetMode="External"/><Relationship Id="rId4" Type="http://schemas.openxmlformats.org/officeDocument/2006/relationships/hyperlink" Target="https://docs.google.com/presentation/d/1BXBpEKJU5QbKx-Sb_tB1Dcr__uVQ0JIz/edit?slide=id.p1" TargetMode="External"/><Relationship Id="rId9" Type="http://schemas.openxmlformats.org/officeDocument/2006/relationships/hyperlink" Target="https://docs.google.com/presentation/d/1urU7v2f5husIE3x5Bg-JlZSmirzoEebf/edit?slide=id.p1" TargetMode="External"/><Relationship Id="rId26" Type="http://schemas.openxmlformats.org/officeDocument/2006/relationships/hyperlink" Target="https://www.youtube.com/watch?v=jj1kcfnOaN4&amp;list=PLii5rkhsE0Ld3xCgxG6j5fw7RlG2S5czO&amp;index=40" TargetMode="External"/><Relationship Id="rId25" Type="http://schemas.openxmlformats.org/officeDocument/2006/relationships/hyperlink" Target="https://docs.google.com/presentation/d/1-FDBokfECXwrqdBzS-5rjzpolWwQ86vk/edit?slide=id.p12" TargetMode="External"/><Relationship Id="rId28" Type="http://schemas.openxmlformats.org/officeDocument/2006/relationships/hyperlink" Target="https://drive.google.com/drive/folders/1ZADzDR385YFxvkJPbalZi2pgUxS1mVUJ" TargetMode="External"/><Relationship Id="rId27" Type="http://schemas.openxmlformats.org/officeDocument/2006/relationships/hyperlink" Target="https://docs.google.com/presentation/d/16ezegkKZF1TJGD0jjPz83fssvmUGTLqB/edit?slide=id.p8" TargetMode="External"/><Relationship Id="rId5" Type="http://schemas.openxmlformats.org/officeDocument/2006/relationships/hyperlink" Target="https://www.youtube.com/watch?v=3L-yv3YoQFQ" TargetMode="External"/><Relationship Id="rId6" Type="http://schemas.openxmlformats.org/officeDocument/2006/relationships/hyperlink" Target="https://docs.google.com/presentation/d/1EYsTFtONekK_JNNhCCeOkRowgngBXLJq/edit?slide=id.p1" TargetMode="External"/><Relationship Id="rId29" Type="http://schemas.openxmlformats.org/officeDocument/2006/relationships/hyperlink" Target="https://docs.google.com/presentation/d/14A1_Ql1MQyFbddHC84mmiQtAq57hhJl7/edit?slide=id.p10" TargetMode="External"/><Relationship Id="rId7" Type="http://schemas.openxmlformats.org/officeDocument/2006/relationships/hyperlink" Target="https://drive.google.com/file/d/1bs-fiVhWFzWXKMEKGdZrl8Am49c_gdCa/view?usp=drive_link" TargetMode="External"/><Relationship Id="rId8" Type="http://schemas.openxmlformats.org/officeDocument/2006/relationships/hyperlink" Target="https://youtu.be/s9RuBAvENhI?si=Pcbcih78PUSKIv2X&amp;t=127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drive/u/0/folders/1EfW4D21vZtNu9qWoB7p9aFzr0JxOMJMy" TargetMode="External"/><Relationship Id="rId11" Type="http://schemas.openxmlformats.org/officeDocument/2006/relationships/hyperlink" Target="https://yahaaa.com/vocabularies/2657-common-adjectives/games" TargetMode="External"/><Relationship Id="rId10" Type="http://schemas.openxmlformats.org/officeDocument/2006/relationships/hyperlink" Target="https://www.youtube.com/watch?v=dQgo02FCiqk" TargetMode="External"/><Relationship Id="rId13" Type="http://schemas.openxmlformats.org/officeDocument/2006/relationships/hyperlink" Target="https://drive.google.com/file/d/14f-MaJoQSyEZosWAPVEwl-zB6nrBluAW/view?usp=drive_link" TargetMode="External"/><Relationship Id="rId12" Type="http://schemas.openxmlformats.org/officeDocument/2006/relationships/hyperlink" Target="https://docs.google.com/presentation/d/1qIRlWLGn9-YWGUUKW5BCllrpTf6-4Gmp/edit?slide=id.p4" TargetMode="External"/><Relationship Id="rId15" Type="http://schemas.openxmlformats.org/officeDocument/2006/relationships/hyperlink" Target="https://drive.google.com/drive/folders/1Mo1b4-KJIa9f4jqfqhg1QacmhDwRTfDo" TargetMode="External"/><Relationship Id="rId14" Type="http://schemas.openxmlformats.org/officeDocument/2006/relationships/hyperlink" Target="https://docs.google.com/presentation/d/1G_CVjqpPQgo2iC4lUylLPDQDLP10bH4q/edit?slide=id.p1" TargetMode="External"/><Relationship Id="rId17" Type="http://schemas.openxmlformats.org/officeDocument/2006/relationships/hyperlink" Target="https://docs.google.com/presentation/d/1lJ6q758Iime0gs-pzd53iUVS-5WPNkkO/edit?slide=id.p1" TargetMode="External"/><Relationship Id="rId16" Type="http://schemas.openxmlformats.org/officeDocument/2006/relationships/hyperlink" Target="https://www.youtube.com/watch?v=4xsRmYL_7LI" TargetMode="External"/><Relationship Id="rId19" Type="http://schemas.openxmlformats.org/officeDocument/2006/relationships/hyperlink" Target="https://docs.google.com/presentation/d/1VaS5h6WuXYvSFJ5fdQF9cV6na34zT7H4/edit?slide=id.p15" TargetMode="External"/><Relationship Id="rId18" Type="http://schemas.openxmlformats.org/officeDocument/2006/relationships/hyperlink" Target="https://www.youtube.com/watch?v=gtue7EAd_XI&amp;list=PLii5rkhsE0Ld3xCgxG6j5fw7RlG2S5czO&amp;index=9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6.14"/>
    <col customWidth="1" min="4" max="4" width="18.0"/>
    <col customWidth="1" min="5" max="5" width="46.71"/>
    <col customWidth="1" min="6" max="6" width="48.86"/>
    <col customWidth="1" min="7" max="8" width="47.86"/>
    <col customWidth="1" min="9" max="9" width="13.71"/>
    <col customWidth="1" min="10" max="10" width="17.14"/>
    <col customWidth="1" min="11" max="25" width="8.71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9.25" customHeight="1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2"/>
      <c r="G2" s="2"/>
      <c r="H2" s="2"/>
      <c r="I2" s="2"/>
      <c r="J2" s="3"/>
    </row>
    <row r="3">
      <c r="A3" s="7"/>
      <c r="B3" s="7"/>
      <c r="C3" s="7"/>
      <c r="D3" s="7"/>
      <c r="E3" s="5" t="s">
        <v>6</v>
      </c>
      <c r="F3" s="5" t="s">
        <v>7</v>
      </c>
      <c r="G3" s="5" t="s">
        <v>8</v>
      </c>
      <c r="H3" s="5" t="s">
        <v>9</v>
      </c>
      <c r="I3" s="8" t="s">
        <v>10</v>
      </c>
      <c r="J3" s="3"/>
    </row>
    <row r="4" ht="50.25" customHeight="1">
      <c r="A4" s="9"/>
      <c r="B4" s="9"/>
      <c r="C4" s="9"/>
      <c r="D4" s="9"/>
      <c r="E4" s="9"/>
      <c r="F4" s="9"/>
      <c r="G4" s="9"/>
      <c r="H4" s="9"/>
      <c r="I4" s="10" t="s">
        <v>11</v>
      </c>
      <c r="J4" s="10" t="s">
        <v>12</v>
      </c>
    </row>
    <row r="5" ht="37.5" customHeight="1">
      <c r="A5" s="11" t="s">
        <v>13</v>
      </c>
      <c r="J5" s="12"/>
    </row>
    <row r="6" ht="137.25" customHeight="1">
      <c r="A6" s="13"/>
      <c r="B6" s="14" t="s">
        <v>14</v>
      </c>
      <c r="C6" s="15" t="s">
        <v>15</v>
      </c>
      <c r="D6" s="16">
        <v>4.0</v>
      </c>
      <c r="E6" s="17" t="s">
        <v>16</v>
      </c>
      <c r="F6" s="18" t="s">
        <v>17</v>
      </c>
      <c r="G6" s="18" t="s">
        <v>18</v>
      </c>
      <c r="H6" s="19" t="s">
        <v>19</v>
      </c>
      <c r="I6" s="14">
        <v>1.0</v>
      </c>
      <c r="J6" s="20" t="s">
        <v>20</v>
      </c>
      <c r="K6" s="21"/>
    </row>
    <row r="7" ht="110.25" customHeight="1">
      <c r="A7" s="13"/>
      <c r="B7" s="14" t="s">
        <v>21</v>
      </c>
      <c r="C7" s="15" t="s">
        <v>15</v>
      </c>
      <c r="D7" s="22" t="s">
        <v>22</v>
      </c>
      <c r="E7" s="17" t="s">
        <v>23</v>
      </c>
      <c r="F7" s="17" t="s">
        <v>24</v>
      </c>
      <c r="G7" s="17" t="s">
        <v>25</v>
      </c>
      <c r="H7" s="23"/>
      <c r="I7" s="14">
        <v>2.0</v>
      </c>
      <c r="J7" s="20" t="s">
        <v>26</v>
      </c>
      <c r="K7" s="21"/>
    </row>
    <row r="8" ht="88.5" customHeight="1">
      <c r="A8" s="13"/>
      <c r="B8" s="14" t="s">
        <v>27</v>
      </c>
      <c r="C8" s="15" t="s">
        <v>15</v>
      </c>
      <c r="D8" s="22" t="s">
        <v>28</v>
      </c>
      <c r="E8" s="17" t="s">
        <v>29</v>
      </c>
      <c r="F8" s="17" t="s">
        <v>30</v>
      </c>
      <c r="G8" s="17" t="s">
        <v>31</v>
      </c>
      <c r="H8" s="17"/>
      <c r="I8" s="14">
        <v>3.0</v>
      </c>
      <c r="J8" s="20" t="s">
        <v>32</v>
      </c>
      <c r="K8" s="21"/>
    </row>
    <row r="9" ht="113.25" customHeight="1">
      <c r="A9" s="13"/>
      <c r="B9" s="14" t="s">
        <v>33</v>
      </c>
      <c r="C9" s="24" t="s">
        <v>34</v>
      </c>
      <c r="D9" s="25" t="s">
        <v>35</v>
      </c>
      <c r="E9" s="26" t="s">
        <v>36</v>
      </c>
      <c r="F9" s="27" t="s">
        <v>37</v>
      </c>
      <c r="G9" s="28" t="s">
        <v>38</v>
      </c>
      <c r="H9" s="27"/>
      <c r="I9" s="29">
        <v>4.0</v>
      </c>
      <c r="J9" s="30" t="s">
        <v>39</v>
      </c>
      <c r="K9" s="21"/>
    </row>
    <row r="10" ht="87.75" customHeight="1">
      <c r="A10" s="13"/>
      <c r="B10" s="14" t="s">
        <v>40</v>
      </c>
      <c r="C10" s="15" t="s">
        <v>15</v>
      </c>
      <c r="D10" s="31" t="s">
        <v>41</v>
      </c>
      <c r="E10" s="17" t="s">
        <v>42</v>
      </c>
      <c r="F10" s="17" t="s">
        <v>43</v>
      </c>
      <c r="G10" s="32" t="s">
        <v>44</v>
      </c>
      <c r="H10" s="17"/>
      <c r="I10" s="33"/>
      <c r="J10" s="34" t="s">
        <v>45</v>
      </c>
      <c r="K10" s="3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90.75" customHeight="1">
      <c r="A11" s="13"/>
      <c r="B11" s="14" t="s">
        <v>46</v>
      </c>
      <c r="C11" s="15" t="s">
        <v>47</v>
      </c>
      <c r="D11" s="37" t="s">
        <v>48</v>
      </c>
      <c r="E11" s="17" t="s">
        <v>49</v>
      </c>
      <c r="F11" s="17" t="s">
        <v>50</v>
      </c>
      <c r="G11" s="17" t="s">
        <v>51</v>
      </c>
      <c r="H11" s="38" t="s">
        <v>52</v>
      </c>
      <c r="I11" s="14">
        <v>5.0</v>
      </c>
      <c r="J11" s="20" t="s">
        <v>20</v>
      </c>
      <c r="K11" s="21"/>
    </row>
    <row r="12" ht="111.0" customHeight="1">
      <c r="A12" s="39">
        <v>46199.0</v>
      </c>
      <c r="B12" s="14" t="s">
        <v>53</v>
      </c>
      <c r="C12" s="15" t="s">
        <v>47</v>
      </c>
      <c r="D12" s="37" t="s">
        <v>54</v>
      </c>
      <c r="E12" s="17" t="s">
        <v>55</v>
      </c>
      <c r="F12" s="17" t="s">
        <v>56</v>
      </c>
      <c r="G12" s="17" t="s">
        <v>57</v>
      </c>
      <c r="H12" s="23"/>
      <c r="I12" s="14">
        <v>6.0</v>
      </c>
      <c r="J12" s="20" t="s">
        <v>32</v>
      </c>
      <c r="K12" s="21"/>
    </row>
    <row r="13" ht="104.25" customHeight="1">
      <c r="A13" s="40"/>
      <c r="B13" s="14" t="s">
        <v>58</v>
      </c>
      <c r="C13" s="15" t="s">
        <v>47</v>
      </c>
      <c r="D13" s="37" t="s">
        <v>59</v>
      </c>
      <c r="E13" s="17" t="s">
        <v>60</v>
      </c>
      <c r="F13" s="17" t="s">
        <v>61</v>
      </c>
      <c r="G13" s="17" t="s">
        <v>62</v>
      </c>
      <c r="H13" s="17"/>
      <c r="I13" s="14">
        <v>7.0</v>
      </c>
      <c r="J13" s="20" t="s">
        <v>26</v>
      </c>
      <c r="K13" s="21"/>
    </row>
    <row r="14" ht="90.0" customHeight="1">
      <c r="A14" s="40"/>
      <c r="B14" s="14" t="s">
        <v>63</v>
      </c>
      <c r="C14" s="15" t="s">
        <v>47</v>
      </c>
      <c r="D14" s="37" t="s">
        <v>64</v>
      </c>
      <c r="E14" s="41" t="s">
        <v>65</v>
      </c>
      <c r="F14" s="17" t="s">
        <v>66</v>
      </c>
      <c r="G14" s="32" t="s">
        <v>67</v>
      </c>
      <c r="H14" s="17"/>
      <c r="I14" s="14">
        <v>8.0</v>
      </c>
      <c r="J14" s="34" t="s">
        <v>39</v>
      </c>
      <c r="K14" s="21"/>
    </row>
    <row r="15" ht="129.75" customHeight="1">
      <c r="A15" s="40"/>
      <c r="B15" s="14" t="s">
        <v>68</v>
      </c>
      <c r="C15" s="15" t="s">
        <v>47</v>
      </c>
      <c r="D15" s="31" t="s">
        <v>69</v>
      </c>
      <c r="E15" s="17" t="s">
        <v>70</v>
      </c>
      <c r="F15" s="17" t="s">
        <v>71</v>
      </c>
      <c r="G15" s="32" t="s">
        <v>72</v>
      </c>
      <c r="H15" s="17"/>
      <c r="I15" s="33"/>
      <c r="J15" s="34" t="s">
        <v>45</v>
      </c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78.0" customHeight="1">
      <c r="A16" s="40"/>
      <c r="B16" s="14" t="s">
        <v>73</v>
      </c>
      <c r="C16" s="15" t="s">
        <v>74</v>
      </c>
      <c r="D16" s="14">
        <v>18.0</v>
      </c>
      <c r="E16" s="32" t="s">
        <v>75</v>
      </c>
      <c r="F16" s="17" t="s">
        <v>76</v>
      </c>
      <c r="G16" s="32" t="s">
        <v>77</v>
      </c>
      <c r="H16" s="38" t="s">
        <v>78</v>
      </c>
      <c r="I16" s="14">
        <v>9.0</v>
      </c>
      <c r="J16" s="20" t="s">
        <v>20</v>
      </c>
      <c r="K16" s="21"/>
    </row>
    <row r="17" ht="48.0" customHeight="1">
      <c r="A17" s="40"/>
      <c r="B17" s="14" t="s">
        <v>79</v>
      </c>
      <c r="C17" s="15" t="s">
        <v>74</v>
      </c>
      <c r="D17" s="14">
        <v>19.0</v>
      </c>
      <c r="E17" s="32" t="s">
        <v>80</v>
      </c>
      <c r="F17" s="17" t="s">
        <v>81</v>
      </c>
      <c r="G17" s="17" t="s">
        <v>82</v>
      </c>
      <c r="H17" s="23"/>
      <c r="I17" s="14">
        <v>10.0</v>
      </c>
      <c r="J17" s="20" t="s">
        <v>83</v>
      </c>
      <c r="K17" s="21"/>
    </row>
    <row r="18" ht="88.5" customHeight="1">
      <c r="A18" s="40"/>
      <c r="B18" s="14" t="s">
        <v>84</v>
      </c>
      <c r="C18" s="15" t="s">
        <v>74</v>
      </c>
      <c r="D18" s="14" t="s">
        <v>85</v>
      </c>
      <c r="E18" s="32" t="s">
        <v>86</v>
      </c>
      <c r="F18" s="32" t="s">
        <v>87</v>
      </c>
      <c r="G18" s="32" t="s">
        <v>88</v>
      </c>
      <c r="H18" s="17"/>
      <c r="I18" s="14">
        <v>11.0</v>
      </c>
      <c r="J18" s="20" t="s">
        <v>89</v>
      </c>
      <c r="K18" s="21"/>
    </row>
    <row r="19" ht="103.5" customHeight="1">
      <c r="A19" s="40"/>
      <c r="B19" s="14" t="s">
        <v>90</v>
      </c>
      <c r="C19" s="15" t="s">
        <v>74</v>
      </c>
      <c r="D19" s="42" t="s">
        <v>91</v>
      </c>
      <c r="E19" s="41" t="s">
        <v>92</v>
      </c>
      <c r="F19" s="17" t="s">
        <v>93</v>
      </c>
      <c r="G19" s="17" t="s">
        <v>94</v>
      </c>
      <c r="H19" s="17"/>
      <c r="I19" s="14">
        <v>12.0</v>
      </c>
      <c r="J19" s="34" t="s">
        <v>39</v>
      </c>
      <c r="K19" s="21"/>
    </row>
    <row r="20" ht="129.75" customHeight="1">
      <c r="A20" s="40"/>
      <c r="B20" s="14" t="s">
        <v>95</v>
      </c>
      <c r="C20" s="15" t="s">
        <v>74</v>
      </c>
      <c r="D20" s="43" t="s">
        <v>96</v>
      </c>
      <c r="E20" s="32" t="s">
        <v>97</v>
      </c>
      <c r="F20" s="17" t="s">
        <v>98</v>
      </c>
      <c r="G20" s="32" t="s">
        <v>44</v>
      </c>
      <c r="H20" s="17"/>
      <c r="I20" s="33"/>
      <c r="J20" s="34" t="s">
        <v>45</v>
      </c>
      <c r="K20" s="3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66.75" customHeight="1">
      <c r="A21" s="40"/>
      <c r="B21" s="14" t="s">
        <v>99</v>
      </c>
      <c r="C21" s="15" t="s">
        <v>100</v>
      </c>
      <c r="D21" s="14" t="s">
        <v>101</v>
      </c>
      <c r="E21" s="32" t="s">
        <v>102</v>
      </c>
      <c r="F21" s="17" t="s">
        <v>103</v>
      </c>
      <c r="G21" s="17" t="s">
        <v>104</v>
      </c>
      <c r="H21" s="38" t="s">
        <v>105</v>
      </c>
      <c r="I21" s="14">
        <v>13.0</v>
      </c>
      <c r="J21" s="20" t="s">
        <v>20</v>
      </c>
      <c r="K21" s="21"/>
    </row>
    <row r="22" ht="76.5" customHeight="1">
      <c r="A22" s="40"/>
      <c r="B22" s="14" t="s">
        <v>106</v>
      </c>
      <c r="C22" s="15" t="s">
        <v>100</v>
      </c>
      <c r="D22" s="14" t="s">
        <v>107</v>
      </c>
      <c r="E22" s="32" t="s">
        <v>108</v>
      </c>
      <c r="F22" s="17" t="s">
        <v>109</v>
      </c>
      <c r="G22" s="32" t="s">
        <v>110</v>
      </c>
      <c r="H22" s="23"/>
      <c r="I22" s="14">
        <v>14.0</v>
      </c>
      <c r="J22" s="20" t="s">
        <v>83</v>
      </c>
      <c r="K22" s="21"/>
    </row>
    <row r="23" ht="105.0" customHeight="1">
      <c r="A23" s="40"/>
      <c r="B23" s="14" t="s">
        <v>111</v>
      </c>
      <c r="C23" s="15" t="s">
        <v>100</v>
      </c>
      <c r="D23" s="20" t="s">
        <v>112</v>
      </c>
      <c r="E23" s="44" t="s">
        <v>113</v>
      </c>
      <c r="F23" s="17" t="s">
        <v>114</v>
      </c>
      <c r="G23" s="32" t="s">
        <v>115</v>
      </c>
      <c r="H23" s="17"/>
      <c r="I23" s="20">
        <v>15.0</v>
      </c>
      <c r="J23" s="20" t="s">
        <v>89</v>
      </c>
      <c r="K23" s="21"/>
    </row>
    <row r="24" ht="64.5" customHeight="1">
      <c r="A24" s="40"/>
      <c r="B24" s="14" t="s">
        <v>116</v>
      </c>
      <c r="C24" s="15" t="s">
        <v>100</v>
      </c>
      <c r="D24" s="14" t="s">
        <v>117</v>
      </c>
      <c r="E24" s="44" t="s">
        <v>118</v>
      </c>
      <c r="F24" s="17" t="s">
        <v>119</v>
      </c>
      <c r="G24" s="17" t="s">
        <v>120</v>
      </c>
      <c r="H24" s="17"/>
      <c r="I24" s="14">
        <v>16.0</v>
      </c>
      <c r="J24" s="34" t="s">
        <v>39</v>
      </c>
      <c r="K24" s="21"/>
    </row>
    <row r="25" ht="85.5" customHeight="1">
      <c r="A25" s="40"/>
      <c r="B25" s="14" t="s">
        <v>121</v>
      </c>
      <c r="C25" s="15" t="s">
        <v>100</v>
      </c>
      <c r="D25" s="43" t="s">
        <v>96</v>
      </c>
      <c r="E25" s="32" t="s">
        <v>122</v>
      </c>
      <c r="F25" s="17" t="s">
        <v>123</v>
      </c>
      <c r="G25" s="32" t="s">
        <v>44</v>
      </c>
      <c r="H25" s="17"/>
      <c r="I25" s="33"/>
      <c r="J25" s="34" t="s">
        <v>45</v>
      </c>
      <c r="K25" s="35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63.0" customHeight="1">
      <c r="A26" s="40"/>
      <c r="B26" s="14" t="s">
        <v>124</v>
      </c>
      <c r="C26" s="15" t="s">
        <v>125</v>
      </c>
      <c r="D26" s="14">
        <v>34.0</v>
      </c>
      <c r="E26" s="32" t="s">
        <v>126</v>
      </c>
      <c r="F26" s="32" t="s">
        <v>127</v>
      </c>
      <c r="G26" s="32" t="s">
        <v>77</v>
      </c>
      <c r="H26" s="38" t="s">
        <v>128</v>
      </c>
      <c r="I26" s="14">
        <v>17.0</v>
      </c>
      <c r="J26" s="20" t="s">
        <v>20</v>
      </c>
      <c r="K26" s="21"/>
    </row>
    <row r="27" ht="63.0" customHeight="1">
      <c r="A27" s="40"/>
      <c r="B27" s="14" t="s">
        <v>129</v>
      </c>
      <c r="C27" s="15" t="s">
        <v>125</v>
      </c>
      <c r="D27" s="14">
        <v>35.0</v>
      </c>
      <c r="E27" s="32" t="s">
        <v>130</v>
      </c>
      <c r="F27" s="32" t="s">
        <v>131</v>
      </c>
      <c r="G27" s="32" t="s">
        <v>132</v>
      </c>
      <c r="H27" s="23"/>
      <c r="I27" s="14">
        <v>18.0</v>
      </c>
      <c r="J27" s="20" t="s">
        <v>83</v>
      </c>
      <c r="K27" s="21"/>
    </row>
    <row r="28" ht="63.0" customHeight="1">
      <c r="A28" s="40"/>
      <c r="B28" s="14" t="s">
        <v>133</v>
      </c>
      <c r="C28" s="15" t="s">
        <v>125</v>
      </c>
      <c r="D28" s="14" t="s">
        <v>134</v>
      </c>
      <c r="E28" s="44" t="s">
        <v>135</v>
      </c>
      <c r="F28" s="32" t="s">
        <v>131</v>
      </c>
      <c r="G28" s="32" t="s">
        <v>110</v>
      </c>
      <c r="H28" s="17"/>
      <c r="I28" s="14">
        <v>19.0</v>
      </c>
      <c r="J28" s="20" t="s">
        <v>89</v>
      </c>
      <c r="K28" s="21"/>
    </row>
    <row r="29" ht="102.0" customHeight="1">
      <c r="A29" s="40"/>
      <c r="B29" s="14" t="s">
        <v>136</v>
      </c>
      <c r="C29" s="15" t="s">
        <v>125</v>
      </c>
      <c r="D29" s="14" t="s">
        <v>137</v>
      </c>
      <c r="E29" s="44" t="s">
        <v>138</v>
      </c>
      <c r="F29" s="17" t="s">
        <v>139</v>
      </c>
      <c r="G29" s="17" t="s">
        <v>140</v>
      </c>
      <c r="H29" s="17"/>
      <c r="I29" s="14">
        <v>20.0</v>
      </c>
      <c r="J29" s="34" t="s">
        <v>39</v>
      </c>
      <c r="K29" s="21"/>
    </row>
    <row r="30" ht="63.0" customHeight="1">
      <c r="A30" s="40"/>
      <c r="B30" s="14" t="s">
        <v>141</v>
      </c>
      <c r="C30" s="15" t="s">
        <v>125</v>
      </c>
      <c r="D30" s="43" t="s">
        <v>96</v>
      </c>
      <c r="E30" s="32" t="s">
        <v>142</v>
      </c>
      <c r="F30" s="32" t="s">
        <v>143</v>
      </c>
      <c r="G30" s="32" t="s">
        <v>44</v>
      </c>
      <c r="H30" s="17"/>
      <c r="I30" s="33"/>
      <c r="J30" s="34" t="s">
        <v>45</v>
      </c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63.0" customHeight="1">
      <c r="A31" s="40"/>
      <c r="B31" s="14" t="s">
        <v>144</v>
      </c>
      <c r="C31" s="15" t="s">
        <v>145</v>
      </c>
      <c r="D31" s="14" t="s">
        <v>146</v>
      </c>
      <c r="E31" s="17" t="s">
        <v>147</v>
      </c>
      <c r="F31" s="32" t="s">
        <v>148</v>
      </c>
      <c r="G31" s="17" t="s">
        <v>104</v>
      </c>
      <c r="H31" s="38" t="s">
        <v>149</v>
      </c>
      <c r="I31" s="14">
        <v>21.0</v>
      </c>
      <c r="J31" s="20" t="s">
        <v>20</v>
      </c>
      <c r="K31" s="21"/>
    </row>
    <row r="32" ht="63.0" customHeight="1">
      <c r="A32" s="40"/>
      <c r="B32" s="14" t="s">
        <v>150</v>
      </c>
      <c r="C32" s="15" t="s">
        <v>145</v>
      </c>
      <c r="D32" s="14" t="s">
        <v>151</v>
      </c>
      <c r="E32" s="32" t="s">
        <v>152</v>
      </c>
      <c r="F32" s="32" t="s">
        <v>153</v>
      </c>
      <c r="G32" s="32" t="s">
        <v>154</v>
      </c>
      <c r="H32" s="23"/>
      <c r="I32" s="14">
        <v>22.0</v>
      </c>
      <c r="J32" s="20" t="s">
        <v>83</v>
      </c>
      <c r="K32" s="45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ht="63.0" customHeight="1">
      <c r="A33" s="40"/>
      <c r="B33" s="14" t="s">
        <v>155</v>
      </c>
      <c r="C33" s="15" t="s">
        <v>145</v>
      </c>
      <c r="D33" s="14" t="s">
        <v>156</v>
      </c>
      <c r="E33" s="17" t="s">
        <v>157</v>
      </c>
      <c r="F33" s="17" t="s">
        <v>139</v>
      </c>
      <c r="G33" s="32" t="s">
        <v>158</v>
      </c>
      <c r="H33" s="17"/>
      <c r="I33" s="14">
        <v>23.0</v>
      </c>
      <c r="J33" s="20" t="s">
        <v>89</v>
      </c>
      <c r="K33" s="21"/>
    </row>
    <row r="34" ht="15.75" customHeight="1">
      <c r="A34" s="40"/>
      <c r="B34" s="14" t="s">
        <v>159</v>
      </c>
      <c r="C34" s="15" t="s">
        <v>145</v>
      </c>
      <c r="D34" s="14" t="s">
        <v>160</v>
      </c>
      <c r="E34" s="44" t="s">
        <v>161</v>
      </c>
      <c r="F34" s="32" t="s">
        <v>162</v>
      </c>
      <c r="G34" s="17" t="s">
        <v>163</v>
      </c>
      <c r="H34" s="17"/>
      <c r="I34" s="14">
        <v>24.0</v>
      </c>
      <c r="J34" s="34" t="s">
        <v>39</v>
      </c>
      <c r="K34" s="45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ht="63.0" customHeight="1">
      <c r="A35" s="40"/>
      <c r="B35" s="14" t="s">
        <v>164</v>
      </c>
      <c r="C35" s="15" t="s">
        <v>145</v>
      </c>
      <c r="D35" s="29" t="s">
        <v>165</v>
      </c>
      <c r="E35" s="32" t="s">
        <v>166</v>
      </c>
      <c r="F35" s="47"/>
      <c r="G35" s="32" t="s">
        <v>44</v>
      </c>
      <c r="H35" s="17"/>
      <c r="I35" s="33"/>
      <c r="J35" s="34" t="s">
        <v>45</v>
      </c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63.0" customHeight="1">
      <c r="A36" s="40"/>
      <c r="B36" s="14" t="s">
        <v>167</v>
      </c>
      <c r="C36" s="15" t="s">
        <v>165</v>
      </c>
      <c r="D36" s="37" t="s">
        <v>168</v>
      </c>
      <c r="E36" s="17" t="s">
        <v>169</v>
      </c>
      <c r="F36" s="17" t="s">
        <v>170</v>
      </c>
      <c r="G36" s="32" t="s">
        <v>171</v>
      </c>
      <c r="H36" s="17"/>
      <c r="I36" s="48"/>
      <c r="J36" s="20" t="s">
        <v>172</v>
      </c>
      <c r="K36" s="21"/>
    </row>
    <row r="37" ht="64.5" customHeight="1">
      <c r="A37" s="40"/>
      <c r="B37" s="14" t="s">
        <v>173</v>
      </c>
      <c r="C37" s="15" t="s">
        <v>165</v>
      </c>
      <c r="D37" s="14" t="s">
        <v>174</v>
      </c>
      <c r="E37" s="17" t="s">
        <v>175</v>
      </c>
      <c r="F37" s="32" t="s">
        <v>176</v>
      </c>
      <c r="G37" s="32" t="s">
        <v>177</v>
      </c>
      <c r="H37" s="17"/>
      <c r="I37" s="48"/>
      <c r="J37" s="20" t="s">
        <v>178</v>
      </c>
      <c r="K37" s="21"/>
    </row>
    <row r="38" ht="75.75" customHeight="1">
      <c r="A38" s="40"/>
      <c r="B38" s="14" t="s">
        <v>179</v>
      </c>
      <c r="C38" s="15" t="s">
        <v>165</v>
      </c>
      <c r="D38" s="14" t="s">
        <v>180</v>
      </c>
      <c r="E38" s="49" t="s">
        <v>181</v>
      </c>
      <c r="F38" s="50" t="s">
        <v>182</v>
      </c>
      <c r="G38" s="50" t="s">
        <v>183</v>
      </c>
      <c r="H38" s="49"/>
      <c r="I38" s="51"/>
      <c r="J38" s="52" t="s">
        <v>184</v>
      </c>
      <c r="K38" s="21"/>
    </row>
    <row r="39" ht="95.25" customHeight="1">
      <c r="A39" s="40"/>
      <c r="B39" s="14" t="s">
        <v>185</v>
      </c>
      <c r="C39" s="15" t="s">
        <v>186</v>
      </c>
      <c r="D39" s="29" t="s">
        <v>187</v>
      </c>
      <c r="E39" s="53" t="s">
        <v>188</v>
      </c>
      <c r="F39" s="54"/>
      <c r="G39" s="54"/>
      <c r="H39" s="54"/>
      <c r="I39" s="54"/>
      <c r="J39" s="54"/>
      <c r="K39" s="21"/>
    </row>
    <row r="40" ht="56.25" customHeight="1">
      <c r="A40" s="40"/>
      <c r="B40" s="14" t="s">
        <v>189</v>
      </c>
      <c r="C40" s="15" t="s">
        <v>186</v>
      </c>
      <c r="D40" s="29" t="s">
        <v>187</v>
      </c>
      <c r="E40" s="55" t="s">
        <v>190</v>
      </c>
      <c r="F40" s="56"/>
      <c r="G40" s="56"/>
      <c r="H40" s="56"/>
      <c r="I40" s="54"/>
      <c r="J40" s="54"/>
      <c r="K40" s="21"/>
    </row>
    <row r="41" ht="82.5" customHeight="1">
      <c r="A41" s="40">
        <v>46087.0</v>
      </c>
      <c r="B41" s="14" t="s">
        <v>191</v>
      </c>
      <c r="C41" s="15" t="s">
        <v>192</v>
      </c>
      <c r="D41" s="57" t="s">
        <v>193</v>
      </c>
      <c r="E41" s="58" t="s">
        <v>194</v>
      </c>
      <c r="F41" s="59"/>
      <c r="G41" s="60"/>
      <c r="H41" s="61"/>
      <c r="I41" s="54"/>
      <c r="J41" s="54"/>
      <c r="K41" s="21"/>
    </row>
    <row r="42" ht="46.5" customHeight="1">
      <c r="A42" s="62" t="s">
        <v>195</v>
      </c>
      <c r="B42" s="63"/>
      <c r="C42" s="63"/>
      <c r="D42" s="63"/>
      <c r="E42" s="63"/>
      <c r="F42" s="63"/>
      <c r="G42" s="63"/>
      <c r="H42" s="63"/>
      <c r="I42" s="63"/>
      <c r="J42" s="64"/>
    </row>
    <row r="43" ht="57.0" customHeight="1">
      <c r="A43" s="40">
        <v>46091.0</v>
      </c>
      <c r="B43" s="16" t="s">
        <v>196</v>
      </c>
      <c r="C43" s="65" t="s">
        <v>197</v>
      </c>
      <c r="D43" s="66">
        <v>48.0</v>
      </c>
      <c r="E43" s="67" t="s">
        <v>198</v>
      </c>
      <c r="F43" s="67" t="s">
        <v>199</v>
      </c>
      <c r="G43" s="68" t="s">
        <v>77</v>
      </c>
      <c r="H43" s="38" t="s">
        <v>200</v>
      </c>
      <c r="I43" s="66">
        <v>25.0</v>
      </c>
      <c r="J43" s="69" t="s">
        <v>20</v>
      </c>
    </row>
    <row r="44" ht="105.0" customHeight="1">
      <c r="A44" s="40">
        <v>46094.0</v>
      </c>
      <c r="B44" s="14" t="s">
        <v>201</v>
      </c>
      <c r="C44" s="70" t="s">
        <v>197</v>
      </c>
      <c r="D44" s="66">
        <v>49.0</v>
      </c>
      <c r="E44" s="32" t="s">
        <v>202</v>
      </c>
      <c r="F44" s="68" t="s">
        <v>203</v>
      </c>
      <c r="G44" s="32" t="s">
        <v>204</v>
      </c>
      <c r="H44" s="23"/>
      <c r="I44" s="66">
        <v>26.0</v>
      </c>
      <c r="J44" s="69" t="s">
        <v>83</v>
      </c>
    </row>
    <row r="45" ht="51.0" customHeight="1">
      <c r="A45" s="71">
        <v>46098.0</v>
      </c>
      <c r="B45" s="16" t="s">
        <v>205</v>
      </c>
      <c r="C45" s="15" t="s">
        <v>197</v>
      </c>
      <c r="D45" s="14" t="s">
        <v>206</v>
      </c>
      <c r="E45" s="17" t="s">
        <v>207</v>
      </c>
      <c r="F45" s="32" t="s">
        <v>208</v>
      </c>
      <c r="G45" s="32" t="s">
        <v>209</v>
      </c>
      <c r="H45" s="17"/>
      <c r="I45" s="14">
        <v>27.0</v>
      </c>
      <c r="J45" s="20" t="s">
        <v>89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ht="120.75" customHeight="1">
      <c r="A46" s="40">
        <v>46101.0</v>
      </c>
      <c r="B46" s="14" t="s">
        <v>210</v>
      </c>
      <c r="C46" s="70" t="s">
        <v>197</v>
      </c>
      <c r="D46" s="66" t="s">
        <v>211</v>
      </c>
      <c r="E46" s="41" t="s">
        <v>212</v>
      </c>
      <c r="F46" s="67" t="s">
        <v>213</v>
      </c>
      <c r="G46" s="68" t="s">
        <v>214</v>
      </c>
      <c r="H46" s="67"/>
      <c r="I46" s="66">
        <v>28.0</v>
      </c>
      <c r="J46" s="72" t="s">
        <v>39</v>
      </c>
    </row>
    <row r="47" ht="63.0" customHeight="1">
      <c r="A47" s="40">
        <v>46105.0</v>
      </c>
      <c r="B47" s="16" t="s">
        <v>215</v>
      </c>
      <c r="C47" s="70" t="s">
        <v>197</v>
      </c>
      <c r="D47" s="73" t="s">
        <v>96</v>
      </c>
      <c r="E47" s="68" t="s">
        <v>216</v>
      </c>
      <c r="F47" s="68" t="s">
        <v>203</v>
      </c>
      <c r="G47" s="32" t="s">
        <v>44</v>
      </c>
      <c r="H47" s="67"/>
      <c r="I47" s="74"/>
      <c r="J47" s="72" t="s">
        <v>45</v>
      </c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70.5" customHeight="1">
      <c r="A48" s="71">
        <v>46108.0</v>
      </c>
      <c r="B48" s="14" t="s">
        <v>217</v>
      </c>
      <c r="C48" s="15" t="s">
        <v>218</v>
      </c>
      <c r="D48" s="14" t="s">
        <v>219</v>
      </c>
      <c r="E48" s="17" t="s">
        <v>220</v>
      </c>
      <c r="F48" s="32" t="s">
        <v>221</v>
      </c>
      <c r="G48" s="17" t="s">
        <v>104</v>
      </c>
      <c r="H48" s="75" t="s">
        <v>222</v>
      </c>
      <c r="I48" s="14">
        <v>29.0</v>
      </c>
      <c r="J48" s="20" t="s">
        <v>20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ht="79.5" customHeight="1">
      <c r="A49" s="71">
        <v>46112.0</v>
      </c>
      <c r="B49" s="16" t="s">
        <v>223</v>
      </c>
      <c r="C49" s="15" t="s">
        <v>218</v>
      </c>
      <c r="D49" s="14" t="s">
        <v>224</v>
      </c>
      <c r="E49" s="32" t="s">
        <v>225</v>
      </c>
      <c r="F49" s="32" t="s">
        <v>226</v>
      </c>
      <c r="G49" s="32" t="s">
        <v>227</v>
      </c>
      <c r="H49" s="23"/>
      <c r="I49" s="14">
        <v>30.0</v>
      </c>
      <c r="J49" s="20" t="s">
        <v>83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ht="81.75" customHeight="1">
      <c r="A50" s="40">
        <v>46115.0</v>
      </c>
      <c r="B50" s="14" t="s">
        <v>228</v>
      </c>
      <c r="C50" s="70" t="s">
        <v>218</v>
      </c>
      <c r="D50" s="66" t="s">
        <v>229</v>
      </c>
      <c r="E50" s="68" t="s">
        <v>230</v>
      </c>
      <c r="F50" s="67" t="s">
        <v>139</v>
      </c>
      <c r="G50" s="68" t="s">
        <v>231</v>
      </c>
      <c r="H50" s="67"/>
      <c r="I50" s="66">
        <v>31.0</v>
      </c>
      <c r="J50" s="69" t="s">
        <v>89</v>
      </c>
    </row>
    <row r="51" ht="98.25" customHeight="1">
      <c r="A51" s="40">
        <v>46119.0</v>
      </c>
      <c r="B51" s="16" t="s">
        <v>232</v>
      </c>
      <c r="C51" s="70" t="s">
        <v>218</v>
      </c>
      <c r="D51" s="66" t="s">
        <v>233</v>
      </c>
      <c r="E51" s="76" t="s">
        <v>234</v>
      </c>
      <c r="F51" s="68" t="s">
        <v>235</v>
      </c>
      <c r="G51" s="68" t="s">
        <v>236</v>
      </c>
      <c r="H51" s="67"/>
      <c r="I51" s="66">
        <v>32.0</v>
      </c>
      <c r="J51" s="72" t="s">
        <v>39</v>
      </c>
    </row>
    <row r="52" ht="63.0" customHeight="1">
      <c r="A52" s="40">
        <v>46122.0</v>
      </c>
      <c r="B52" s="14" t="s">
        <v>237</v>
      </c>
      <c r="C52" s="70" t="s">
        <v>218</v>
      </c>
      <c r="D52" s="73" t="s">
        <v>96</v>
      </c>
      <c r="E52" s="77" t="s">
        <v>238</v>
      </c>
      <c r="F52" s="68" t="s">
        <v>226</v>
      </c>
      <c r="G52" s="68" t="s">
        <v>44</v>
      </c>
      <c r="H52" s="67"/>
      <c r="I52" s="74"/>
      <c r="J52" s="72" t="s">
        <v>45</v>
      </c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76.5" customHeight="1">
      <c r="A53" s="71">
        <v>46126.0</v>
      </c>
      <c r="B53" s="16" t="s">
        <v>239</v>
      </c>
      <c r="C53" s="15" t="s">
        <v>240</v>
      </c>
      <c r="D53" s="14">
        <v>64.0</v>
      </c>
      <c r="E53" s="32" t="s">
        <v>241</v>
      </c>
      <c r="F53" s="32" t="s">
        <v>242</v>
      </c>
      <c r="G53" s="32" t="s">
        <v>77</v>
      </c>
      <c r="H53" s="75" t="s">
        <v>243</v>
      </c>
      <c r="I53" s="14">
        <v>33.0</v>
      </c>
      <c r="J53" s="20" t="s">
        <v>20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ht="139.5" customHeight="1">
      <c r="A54" s="71">
        <v>46129.0</v>
      </c>
      <c r="B54" s="14" t="s">
        <v>244</v>
      </c>
      <c r="C54" s="15" t="s">
        <v>240</v>
      </c>
      <c r="D54" s="14">
        <v>65.0</v>
      </c>
      <c r="E54" s="32" t="s">
        <v>245</v>
      </c>
      <c r="F54" s="32" t="s">
        <v>246</v>
      </c>
      <c r="G54" s="32" t="s">
        <v>247</v>
      </c>
      <c r="H54" s="23"/>
      <c r="I54" s="14">
        <v>34.0</v>
      </c>
      <c r="J54" s="20" t="s">
        <v>83</v>
      </c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ht="84.0" customHeight="1">
      <c r="A55" s="40">
        <v>46133.0</v>
      </c>
      <c r="B55" s="16" t="s">
        <v>248</v>
      </c>
      <c r="C55" s="15" t="s">
        <v>240</v>
      </c>
      <c r="D55" s="66" t="s">
        <v>249</v>
      </c>
      <c r="E55" s="67" t="s">
        <v>250</v>
      </c>
      <c r="F55" s="68" t="s">
        <v>251</v>
      </c>
      <c r="G55" s="67" t="s">
        <v>104</v>
      </c>
      <c r="H55" s="67"/>
      <c r="I55" s="66">
        <v>35.0</v>
      </c>
      <c r="J55" s="69" t="s">
        <v>89</v>
      </c>
    </row>
    <row r="56" ht="70.5" customHeight="1">
      <c r="A56" s="40">
        <v>46136.0</v>
      </c>
      <c r="B56" s="14" t="s">
        <v>252</v>
      </c>
      <c r="C56" s="70" t="s">
        <v>240</v>
      </c>
      <c r="D56" s="66" t="s">
        <v>253</v>
      </c>
      <c r="E56" s="76" t="s">
        <v>254</v>
      </c>
      <c r="F56" s="17" t="s">
        <v>255</v>
      </c>
      <c r="G56" s="68" t="s">
        <v>256</v>
      </c>
      <c r="H56" s="67"/>
      <c r="I56" s="66">
        <v>36.0</v>
      </c>
      <c r="J56" s="72" t="s">
        <v>39</v>
      </c>
    </row>
    <row r="57" ht="102.0" customHeight="1">
      <c r="A57" s="40">
        <v>46140.0</v>
      </c>
      <c r="B57" s="16" t="s">
        <v>257</v>
      </c>
      <c r="C57" s="70" t="s">
        <v>240</v>
      </c>
      <c r="D57" s="73" t="s">
        <v>96</v>
      </c>
      <c r="E57" s="68" t="s">
        <v>258</v>
      </c>
      <c r="F57" s="32" t="s">
        <v>251</v>
      </c>
      <c r="G57" s="68" t="s">
        <v>44</v>
      </c>
      <c r="H57" s="67"/>
      <c r="I57" s="74"/>
      <c r="J57" s="72" t="s">
        <v>45</v>
      </c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72.0" customHeight="1">
      <c r="A58" s="71">
        <v>46147.0</v>
      </c>
      <c r="B58" s="14" t="s">
        <v>259</v>
      </c>
      <c r="C58" s="15" t="s">
        <v>260</v>
      </c>
      <c r="D58" s="14" t="s">
        <v>261</v>
      </c>
      <c r="E58" s="32" t="s">
        <v>262</v>
      </c>
      <c r="F58" s="32" t="s">
        <v>263</v>
      </c>
      <c r="G58" s="17" t="s">
        <v>104</v>
      </c>
      <c r="H58" s="75" t="s">
        <v>264</v>
      </c>
      <c r="I58" s="14">
        <v>37.0</v>
      </c>
      <c r="J58" s="20" t="s">
        <v>20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ht="57.0" customHeight="1">
      <c r="A59" s="71">
        <v>46150.0</v>
      </c>
      <c r="B59" s="16" t="s">
        <v>265</v>
      </c>
      <c r="C59" s="15" t="s">
        <v>260</v>
      </c>
      <c r="D59" s="14" t="s">
        <v>266</v>
      </c>
      <c r="E59" s="32" t="s">
        <v>267</v>
      </c>
      <c r="F59" s="32" t="s">
        <v>268</v>
      </c>
      <c r="G59" s="32" t="s">
        <v>269</v>
      </c>
      <c r="H59" s="23"/>
      <c r="I59" s="14">
        <v>38.0</v>
      </c>
      <c r="J59" s="20" t="s">
        <v>83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ht="93.75" customHeight="1">
      <c r="A60" s="71">
        <v>46154.0</v>
      </c>
      <c r="B60" s="14" t="s">
        <v>270</v>
      </c>
      <c r="C60" s="15" t="s">
        <v>260</v>
      </c>
      <c r="D60" s="14" t="s">
        <v>271</v>
      </c>
      <c r="E60" s="32" t="s">
        <v>272</v>
      </c>
      <c r="F60" s="17" t="s">
        <v>273</v>
      </c>
      <c r="G60" s="32" t="s">
        <v>274</v>
      </c>
      <c r="H60" s="17"/>
      <c r="I60" s="14">
        <v>39.0</v>
      </c>
      <c r="J60" s="20" t="s">
        <v>89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ht="76.5" customHeight="1">
      <c r="A61" s="71">
        <v>46157.0</v>
      </c>
      <c r="B61" s="16" t="s">
        <v>275</v>
      </c>
      <c r="C61" s="15" t="s">
        <v>260</v>
      </c>
      <c r="D61" s="14" t="s">
        <v>276</v>
      </c>
      <c r="E61" s="78" t="s">
        <v>277</v>
      </c>
      <c r="F61" s="32" t="s">
        <v>278</v>
      </c>
      <c r="G61" s="32" t="s">
        <v>279</v>
      </c>
      <c r="H61" s="17"/>
      <c r="I61" s="14">
        <v>40.0</v>
      </c>
      <c r="J61" s="34" t="s">
        <v>39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ht="63.0" customHeight="1">
      <c r="A62" s="71">
        <v>46161.0</v>
      </c>
      <c r="B62" s="14" t="s">
        <v>280</v>
      </c>
      <c r="C62" s="15" t="s">
        <v>260</v>
      </c>
      <c r="D62" s="43" t="s">
        <v>165</v>
      </c>
      <c r="E62" s="32" t="s">
        <v>281</v>
      </c>
      <c r="F62" s="32" t="s">
        <v>268</v>
      </c>
      <c r="G62" s="32" t="s">
        <v>44</v>
      </c>
      <c r="H62" s="17"/>
      <c r="I62" s="33"/>
      <c r="J62" s="34" t="s">
        <v>45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45.75" customHeight="1">
      <c r="A63" s="71">
        <v>46164.0</v>
      </c>
      <c r="B63" s="16" t="s">
        <v>282</v>
      </c>
      <c r="C63" s="15" t="s">
        <v>283</v>
      </c>
      <c r="D63" s="14">
        <v>78.0</v>
      </c>
      <c r="E63" s="17" t="s">
        <v>284</v>
      </c>
      <c r="F63" s="32" t="s">
        <v>285</v>
      </c>
      <c r="G63" s="32" t="s">
        <v>77</v>
      </c>
      <c r="H63" s="75" t="s">
        <v>286</v>
      </c>
      <c r="I63" s="14">
        <v>41.0</v>
      </c>
      <c r="J63" s="20" t="s">
        <v>20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ht="99.0" customHeight="1">
      <c r="A64" s="71">
        <v>46168.0</v>
      </c>
      <c r="B64" s="14" t="s">
        <v>287</v>
      </c>
      <c r="C64" s="15" t="s">
        <v>283</v>
      </c>
      <c r="D64" s="14">
        <v>79.0</v>
      </c>
      <c r="E64" s="32" t="s">
        <v>288</v>
      </c>
      <c r="F64" s="32" t="s">
        <v>289</v>
      </c>
      <c r="G64" s="17" t="s">
        <v>104</v>
      </c>
      <c r="H64" s="23"/>
      <c r="I64" s="14">
        <v>42.0</v>
      </c>
      <c r="J64" s="20" t="s">
        <v>83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ht="63.0" customHeight="1">
      <c r="A65" s="71">
        <v>46171.0</v>
      </c>
      <c r="B65" s="16" t="s">
        <v>290</v>
      </c>
      <c r="C65" s="15" t="s">
        <v>283</v>
      </c>
      <c r="D65" s="14" t="s">
        <v>291</v>
      </c>
      <c r="E65" s="32" t="s">
        <v>292</v>
      </c>
      <c r="F65" s="32" t="s">
        <v>293</v>
      </c>
      <c r="G65" s="32" t="s">
        <v>294</v>
      </c>
      <c r="H65" s="17"/>
      <c r="I65" s="14">
        <v>43.0</v>
      </c>
      <c r="J65" s="20" t="s">
        <v>89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ht="93.0" customHeight="1">
      <c r="A66" s="79">
        <v>46175.0</v>
      </c>
      <c r="B66" s="14" t="s">
        <v>295</v>
      </c>
      <c r="C66" s="15" t="s">
        <v>283</v>
      </c>
      <c r="D66" s="14" t="s">
        <v>296</v>
      </c>
      <c r="E66" s="41" t="s">
        <v>297</v>
      </c>
      <c r="F66" s="17" t="s">
        <v>298</v>
      </c>
      <c r="G66" s="32" t="s">
        <v>274</v>
      </c>
      <c r="H66" s="17"/>
      <c r="I66" s="14">
        <v>44.0</v>
      </c>
      <c r="J66" s="34" t="s">
        <v>39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ht="72.75" customHeight="1">
      <c r="A67" s="80">
        <v>46178.0</v>
      </c>
      <c r="B67" s="16" t="s">
        <v>299</v>
      </c>
      <c r="C67" s="15" t="s">
        <v>283</v>
      </c>
      <c r="D67" s="43" t="s">
        <v>96</v>
      </c>
      <c r="E67" s="32" t="s">
        <v>300</v>
      </c>
      <c r="F67" s="32" t="s">
        <v>289</v>
      </c>
      <c r="G67" s="32" t="s">
        <v>44</v>
      </c>
      <c r="H67" s="17"/>
      <c r="I67" s="33"/>
      <c r="J67" s="34" t="s">
        <v>45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49.5" customHeight="1">
      <c r="A68" s="79">
        <v>46182.0</v>
      </c>
      <c r="B68" s="14" t="s">
        <v>301</v>
      </c>
      <c r="C68" s="15" t="s">
        <v>302</v>
      </c>
      <c r="D68" s="14" t="s">
        <v>303</v>
      </c>
      <c r="E68" s="32" t="s">
        <v>304</v>
      </c>
      <c r="F68" s="32" t="s">
        <v>305</v>
      </c>
      <c r="G68" s="32" t="s">
        <v>77</v>
      </c>
      <c r="H68" s="75" t="s">
        <v>306</v>
      </c>
      <c r="I68" s="14">
        <v>45.0</v>
      </c>
      <c r="J68" s="20" t="s">
        <v>20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ht="123.75" customHeight="1">
      <c r="A69" s="71"/>
      <c r="B69" s="16" t="s">
        <v>307</v>
      </c>
      <c r="C69" s="15" t="s">
        <v>302</v>
      </c>
      <c r="D69" s="14" t="s">
        <v>308</v>
      </c>
      <c r="E69" s="32" t="s">
        <v>309</v>
      </c>
      <c r="F69" s="32" t="s">
        <v>310</v>
      </c>
      <c r="G69" s="17" t="s">
        <v>311</v>
      </c>
      <c r="H69" s="23"/>
      <c r="I69" s="14">
        <v>46.0</v>
      </c>
      <c r="J69" s="20" t="s">
        <v>83</v>
      </c>
      <c r="K69" s="21">
        <f>72/8</f>
        <v>9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ht="96.75" customHeight="1">
      <c r="A70" s="81"/>
      <c r="B70" s="14" t="s">
        <v>312</v>
      </c>
      <c r="C70" s="15" t="s">
        <v>302</v>
      </c>
      <c r="D70" s="14" t="s">
        <v>313</v>
      </c>
      <c r="E70" s="32" t="s">
        <v>314</v>
      </c>
      <c r="F70" s="17" t="s">
        <v>298</v>
      </c>
      <c r="G70" s="32" t="s">
        <v>315</v>
      </c>
      <c r="H70" s="17"/>
      <c r="I70" s="14">
        <v>47.0</v>
      </c>
      <c r="J70" s="20" t="s">
        <v>89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ht="92.25" customHeight="1">
      <c r="A71" s="82"/>
      <c r="B71" s="16" t="s">
        <v>316</v>
      </c>
      <c r="C71" s="15" t="s">
        <v>302</v>
      </c>
      <c r="D71" s="14" t="s">
        <v>317</v>
      </c>
      <c r="E71" s="41" t="s">
        <v>318</v>
      </c>
      <c r="F71" s="47"/>
      <c r="G71" s="32" t="s">
        <v>319</v>
      </c>
      <c r="H71" s="17"/>
      <c r="I71" s="14">
        <v>48.0</v>
      </c>
      <c r="J71" s="34" t="s">
        <v>39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ht="59.25" customHeight="1">
      <c r="A72" s="71"/>
      <c r="B72" s="14" t="s">
        <v>320</v>
      </c>
      <c r="C72" s="15" t="s">
        <v>302</v>
      </c>
      <c r="D72" s="43" t="s">
        <v>96</v>
      </c>
      <c r="E72" s="32" t="s">
        <v>321</v>
      </c>
      <c r="F72" s="32" t="s">
        <v>310</v>
      </c>
      <c r="G72" s="32" t="s">
        <v>44</v>
      </c>
      <c r="H72" s="17"/>
      <c r="I72" s="33"/>
      <c r="J72" s="34" t="s">
        <v>45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75.0" customHeight="1">
      <c r="A73" s="83"/>
      <c r="B73" s="16" t="s">
        <v>322</v>
      </c>
      <c r="C73" s="15" t="s">
        <v>165</v>
      </c>
      <c r="D73" s="14" t="s">
        <v>180</v>
      </c>
      <c r="E73" s="17" t="s">
        <v>323</v>
      </c>
      <c r="F73" s="32" t="s">
        <v>324</v>
      </c>
      <c r="G73" s="32" t="s">
        <v>325</v>
      </c>
      <c r="H73" s="17"/>
      <c r="I73" s="48"/>
      <c r="J73" s="20" t="s">
        <v>326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ht="119.25" customHeight="1">
      <c r="A74" s="71"/>
      <c r="B74" s="14" t="s">
        <v>327</v>
      </c>
      <c r="C74" s="15" t="s">
        <v>165</v>
      </c>
      <c r="D74" s="14" t="s">
        <v>328</v>
      </c>
      <c r="E74" s="17" t="s">
        <v>329</v>
      </c>
      <c r="F74" s="32" t="s">
        <v>330</v>
      </c>
      <c r="G74" s="32" t="s">
        <v>331</v>
      </c>
      <c r="H74" s="17"/>
      <c r="I74" s="48"/>
      <c r="J74" s="20" t="s">
        <v>332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ht="102.75" customHeight="1">
      <c r="A75" s="71"/>
      <c r="B75" s="16" t="s">
        <v>333</v>
      </c>
      <c r="C75" s="15" t="s">
        <v>165</v>
      </c>
      <c r="D75" s="14" t="s">
        <v>334</v>
      </c>
      <c r="E75" s="49" t="s">
        <v>335</v>
      </c>
      <c r="F75" s="50" t="s">
        <v>336</v>
      </c>
      <c r="G75" s="50" t="s">
        <v>337</v>
      </c>
      <c r="H75" s="49"/>
      <c r="I75" s="51"/>
      <c r="J75" s="52" t="s">
        <v>338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ht="84.75" customHeight="1">
      <c r="A76" s="71"/>
      <c r="B76" s="14" t="s">
        <v>339</v>
      </c>
      <c r="C76" s="84" t="s">
        <v>340</v>
      </c>
      <c r="D76" s="85" t="s">
        <v>187</v>
      </c>
      <c r="E76" s="53" t="s">
        <v>341</v>
      </c>
      <c r="F76" s="54"/>
      <c r="G76" s="86" t="s">
        <v>342</v>
      </c>
      <c r="H76" s="87"/>
      <c r="I76" s="54"/>
      <c r="J76" s="54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</row>
    <row r="77" ht="72.75" customHeight="1">
      <c r="A77" s="71"/>
      <c r="B77" s="16" t="s">
        <v>343</v>
      </c>
      <c r="C77" s="84" t="s">
        <v>340</v>
      </c>
      <c r="D77" s="85" t="s">
        <v>187</v>
      </c>
      <c r="E77" s="53" t="s">
        <v>344</v>
      </c>
      <c r="F77" s="54"/>
      <c r="G77" s="9"/>
      <c r="H77" s="87"/>
      <c r="I77" s="54"/>
      <c r="J77" s="54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</row>
    <row r="78" ht="60.0" customHeight="1">
      <c r="A78" s="89"/>
      <c r="B78" s="14" t="s">
        <v>345</v>
      </c>
      <c r="C78" s="90" t="s">
        <v>346</v>
      </c>
      <c r="D78" s="91"/>
      <c r="E78" s="92" t="s">
        <v>347</v>
      </c>
      <c r="F78" s="3"/>
      <c r="G78" s="93" t="s">
        <v>348</v>
      </c>
      <c r="H78" s="93"/>
      <c r="I78" s="54"/>
      <c r="J78" s="54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</row>
    <row r="79" ht="33.0" customHeight="1">
      <c r="A79" s="94"/>
      <c r="B79" s="21"/>
    </row>
    <row r="80" ht="14.25" customHeight="1">
      <c r="A80" s="94"/>
      <c r="B80" s="21"/>
    </row>
    <row r="81" ht="17.25" customHeight="1">
      <c r="A81" s="94"/>
      <c r="B81" s="21"/>
    </row>
    <row r="82" ht="21.75" customHeight="1">
      <c r="A82" s="94"/>
      <c r="B82" s="21"/>
    </row>
    <row r="83" ht="14.25" customHeight="1">
      <c r="A83" s="94"/>
      <c r="B83" s="21"/>
    </row>
    <row r="84" ht="14.25" customHeight="1">
      <c r="A84" s="94"/>
      <c r="B84" s="21"/>
    </row>
    <row r="85" ht="14.25" customHeight="1">
      <c r="A85" s="94"/>
      <c r="B85" s="21"/>
    </row>
    <row r="86" ht="14.25" customHeight="1">
      <c r="A86" s="94"/>
      <c r="B86" s="21"/>
    </row>
    <row r="87" ht="14.25" customHeight="1">
      <c r="A87" s="94"/>
      <c r="B87" s="21"/>
    </row>
    <row r="88" ht="14.25" customHeight="1">
      <c r="A88" s="94"/>
      <c r="B88" s="21"/>
    </row>
    <row r="89" ht="14.25" customHeight="1">
      <c r="A89" s="94"/>
      <c r="B89" s="21"/>
    </row>
    <row r="90" ht="14.25" customHeight="1">
      <c r="A90" s="94"/>
      <c r="B90" s="21"/>
    </row>
    <row r="91" ht="14.25" customHeight="1">
      <c r="A91" s="94"/>
      <c r="B91" s="21"/>
    </row>
    <row r="92" ht="14.25" customHeight="1">
      <c r="A92" s="94"/>
      <c r="B92" s="21"/>
    </row>
    <row r="93" ht="14.25" customHeight="1">
      <c r="A93" s="95"/>
      <c r="B93" s="96"/>
      <c r="C93" s="97"/>
      <c r="D93" s="97"/>
      <c r="J93" s="97"/>
    </row>
    <row r="94" ht="14.25" customHeight="1">
      <c r="A94" s="95"/>
      <c r="B94" s="96"/>
      <c r="C94" s="97"/>
      <c r="D94" s="97"/>
      <c r="J94" s="97"/>
    </row>
    <row r="95" ht="14.25" customHeight="1">
      <c r="A95" s="95"/>
      <c r="B95" s="96"/>
      <c r="C95" s="97"/>
      <c r="D95" s="97"/>
      <c r="J95" s="97"/>
    </row>
    <row r="96" ht="14.25" customHeight="1">
      <c r="A96" s="95"/>
      <c r="B96" s="96"/>
      <c r="C96" s="97"/>
      <c r="D96" s="97"/>
      <c r="J96" s="97"/>
    </row>
    <row r="97" ht="14.25" customHeight="1">
      <c r="A97" s="95"/>
      <c r="B97" s="96"/>
      <c r="C97" s="97"/>
      <c r="D97" s="97"/>
      <c r="J97" s="97"/>
    </row>
    <row r="98" ht="14.25" customHeight="1">
      <c r="A98" s="95"/>
      <c r="B98" s="96"/>
      <c r="C98" s="97"/>
      <c r="D98" s="97"/>
      <c r="J98" s="97"/>
    </row>
    <row r="99" ht="14.25" customHeight="1">
      <c r="A99" s="95"/>
      <c r="B99" s="96"/>
      <c r="C99" s="97"/>
      <c r="D99" s="97"/>
      <c r="J99" s="97"/>
    </row>
    <row r="100" ht="14.25" customHeight="1">
      <c r="A100" s="95"/>
      <c r="B100" s="96"/>
      <c r="C100" s="97"/>
      <c r="D100" s="97"/>
      <c r="J100" s="97"/>
    </row>
    <row r="101" ht="14.25" customHeight="1">
      <c r="A101" s="95"/>
      <c r="B101" s="96"/>
      <c r="C101" s="97"/>
      <c r="D101" s="97"/>
      <c r="J101" s="97"/>
    </row>
    <row r="102" ht="14.25" customHeight="1">
      <c r="A102" s="95"/>
      <c r="B102" s="96"/>
      <c r="C102" s="97"/>
      <c r="D102" s="97"/>
      <c r="J102" s="97"/>
    </row>
    <row r="103" ht="14.25" customHeight="1">
      <c r="A103" s="95"/>
      <c r="B103" s="96"/>
      <c r="C103" s="97"/>
      <c r="D103" s="97"/>
      <c r="J103" s="97"/>
    </row>
    <row r="104" ht="14.25" customHeight="1">
      <c r="A104" s="95"/>
      <c r="B104" s="96"/>
      <c r="C104" s="97"/>
      <c r="D104" s="97"/>
      <c r="J104" s="97"/>
    </row>
    <row r="105" ht="14.25" customHeight="1">
      <c r="A105" s="95"/>
      <c r="B105" s="96"/>
      <c r="C105" s="97"/>
      <c r="D105" s="97"/>
      <c r="J105" s="97"/>
    </row>
    <row r="106" ht="14.25" customHeight="1">
      <c r="A106" s="95"/>
      <c r="B106" s="96"/>
      <c r="C106" s="97"/>
      <c r="D106" s="97"/>
      <c r="J106" s="97"/>
    </row>
    <row r="107" ht="14.25" customHeight="1">
      <c r="A107" s="95"/>
      <c r="B107" s="96"/>
      <c r="C107" s="97"/>
      <c r="D107" s="97"/>
      <c r="J107" s="97"/>
    </row>
    <row r="108" ht="14.25" customHeight="1">
      <c r="A108" s="95"/>
      <c r="B108" s="96"/>
      <c r="C108" s="97"/>
      <c r="D108" s="97"/>
      <c r="J108" s="97"/>
    </row>
    <row r="109" ht="14.25" customHeight="1">
      <c r="A109" s="95"/>
      <c r="B109" s="96"/>
      <c r="C109" s="97"/>
      <c r="D109" s="97"/>
      <c r="J109" s="97"/>
    </row>
    <row r="110" ht="14.25" customHeight="1">
      <c r="A110" s="95"/>
      <c r="B110" s="96"/>
      <c r="C110" s="97"/>
      <c r="D110" s="97"/>
      <c r="J110" s="97"/>
    </row>
    <row r="111" ht="14.25" customHeight="1">
      <c r="A111" s="95"/>
      <c r="B111" s="96"/>
      <c r="C111" s="97"/>
      <c r="D111" s="97"/>
      <c r="J111" s="97"/>
    </row>
    <row r="112" ht="14.25" customHeight="1">
      <c r="A112" s="95"/>
      <c r="B112" s="96"/>
      <c r="C112" s="97"/>
      <c r="D112" s="97"/>
      <c r="J112" s="97"/>
    </row>
    <row r="113" ht="14.25" customHeight="1">
      <c r="A113" s="95"/>
      <c r="B113" s="96"/>
      <c r="C113" s="97"/>
      <c r="D113" s="97"/>
      <c r="J113" s="97"/>
    </row>
    <row r="114" ht="14.25" customHeight="1">
      <c r="A114" s="95"/>
      <c r="B114" s="96"/>
      <c r="C114" s="97"/>
      <c r="D114" s="97"/>
      <c r="J114" s="97"/>
    </row>
    <row r="115" ht="14.25" customHeight="1">
      <c r="A115" s="95"/>
      <c r="B115" s="96"/>
      <c r="C115" s="97"/>
      <c r="D115" s="97"/>
      <c r="J115" s="97"/>
    </row>
    <row r="116" ht="14.25" customHeight="1">
      <c r="A116" s="95"/>
      <c r="B116" s="96"/>
      <c r="C116" s="97"/>
      <c r="D116" s="97"/>
      <c r="J116" s="97"/>
    </row>
    <row r="117" ht="14.25" customHeight="1">
      <c r="A117" s="95"/>
      <c r="B117" s="96"/>
      <c r="C117" s="97"/>
      <c r="D117" s="97"/>
      <c r="J117" s="97"/>
    </row>
    <row r="118" ht="14.25" customHeight="1">
      <c r="A118" s="95"/>
      <c r="B118" s="96"/>
      <c r="C118" s="97"/>
      <c r="D118" s="97"/>
      <c r="J118" s="97"/>
    </row>
    <row r="119" ht="14.25" customHeight="1">
      <c r="A119" s="95"/>
      <c r="B119" s="96"/>
      <c r="C119" s="97"/>
      <c r="D119" s="97"/>
      <c r="J119" s="97"/>
    </row>
    <row r="120" ht="14.25" customHeight="1">
      <c r="A120" s="95"/>
      <c r="B120" s="96"/>
      <c r="C120" s="97"/>
      <c r="D120" s="97"/>
      <c r="J120" s="97"/>
    </row>
    <row r="121" ht="14.25" customHeight="1">
      <c r="A121" s="95"/>
      <c r="B121" s="96"/>
      <c r="C121" s="97"/>
      <c r="D121" s="97"/>
      <c r="J121" s="97"/>
    </row>
    <row r="122" ht="14.25" customHeight="1">
      <c r="A122" s="95"/>
      <c r="B122" s="96"/>
      <c r="C122" s="97"/>
      <c r="D122" s="97"/>
      <c r="J122" s="97"/>
    </row>
    <row r="123" ht="14.25" customHeight="1">
      <c r="A123" s="95"/>
      <c r="B123" s="96"/>
      <c r="C123" s="97"/>
      <c r="D123" s="97"/>
      <c r="J123" s="97"/>
    </row>
    <row r="124" ht="14.25" customHeight="1">
      <c r="A124" s="95"/>
      <c r="B124" s="96"/>
      <c r="C124" s="97"/>
      <c r="D124" s="97"/>
      <c r="J124" s="97"/>
    </row>
    <row r="125" ht="14.25" customHeight="1">
      <c r="A125" s="95"/>
      <c r="B125" s="96"/>
      <c r="C125" s="97"/>
      <c r="D125" s="97"/>
      <c r="J125" s="97"/>
    </row>
    <row r="126" ht="14.25" customHeight="1">
      <c r="A126" s="95"/>
      <c r="B126" s="96"/>
      <c r="C126" s="97"/>
      <c r="D126" s="97"/>
      <c r="J126" s="97"/>
    </row>
    <row r="127" ht="14.25" customHeight="1">
      <c r="A127" s="95"/>
      <c r="B127" s="96"/>
      <c r="C127" s="97"/>
      <c r="D127" s="97"/>
      <c r="J127" s="97"/>
    </row>
    <row r="128" ht="14.25" customHeight="1">
      <c r="A128" s="95"/>
      <c r="B128" s="96"/>
      <c r="C128" s="97"/>
      <c r="D128" s="97"/>
      <c r="J128" s="97"/>
    </row>
    <row r="129" ht="14.25" customHeight="1">
      <c r="A129" s="95"/>
      <c r="B129" s="96"/>
      <c r="C129" s="97"/>
      <c r="D129" s="97"/>
      <c r="J129" s="97"/>
    </row>
    <row r="130" ht="14.25" customHeight="1">
      <c r="A130" s="95"/>
      <c r="B130" s="96"/>
      <c r="C130" s="97"/>
      <c r="D130" s="97"/>
      <c r="J130" s="97"/>
    </row>
    <row r="131" ht="14.25" customHeight="1">
      <c r="A131" s="95"/>
      <c r="B131" s="96"/>
      <c r="C131" s="97"/>
      <c r="D131" s="97"/>
      <c r="J131" s="97"/>
    </row>
    <row r="132" ht="14.25" customHeight="1">
      <c r="A132" s="95"/>
      <c r="B132" s="96"/>
      <c r="C132" s="97"/>
      <c r="D132" s="97"/>
      <c r="J132" s="97"/>
    </row>
    <row r="133" ht="14.25" customHeight="1">
      <c r="A133" s="95"/>
      <c r="B133" s="96"/>
      <c r="C133" s="97"/>
      <c r="D133" s="97"/>
      <c r="J133" s="97"/>
    </row>
    <row r="134" ht="14.25" customHeight="1">
      <c r="A134" s="95"/>
      <c r="B134" s="96"/>
      <c r="C134" s="97"/>
      <c r="D134" s="97"/>
      <c r="J134" s="97"/>
    </row>
    <row r="135" ht="14.25" customHeight="1">
      <c r="A135" s="95"/>
      <c r="B135" s="96"/>
      <c r="C135" s="97"/>
      <c r="D135" s="97"/>
      <c r="J135" s="97"/>
    </row>
    <row r="136" ht="14.25" customHeight="1">
      <c r="A136" s="95"/>
      <c r="B136" s="96"/>
      <c r="C136" s="97"/>
      <c r="D136" s="97"/>
      <c r="J136" s="97"/>
    </row>
    <row r="137" ht="14.25" customHeight="1">
      <c r="A137" s="95"/>
      <c r="B137" s="96"/>
      <c r="C137" s="97"/>
      <c r="D137" s="97"/>
      <c r="J137" s="97"/>
    </row>
    <row r="138" ht="14.25" customHeight="1">
      <c r="A138" s="95"/>
      <c r="B138" s="96"/>
      <c r="C138" s="97"/>
      <c r="D138" s="97"/>
      <c r="J138" s="97"/>
    </row>
    <row r="139" ht="14.25" customHeight="1">
      <c r="A139" s="95"/>
      <c r="B139" s="96"/>
      <c r="C139" s="97"/>
      <c r="D139" s="97"/>
      <c r="J139" s="97"/>
    </row>
    <row r="140" ht="14.25" customHeight="1">
      <c r="A140" s="95"/>
      <c r="B140" s="96"/>
      <c r="C140" s="97"/>
      <c r="D140" s="97"/>
      <c r="J140" s="97"/>
    </row>
    <row r="141" ht="14.25" customHeight="1">
      <c r="A141" s="95"/>
      <c r="B141" s="96"/>
      <c r="C141" s="97"/>
      <c r="D141" s="97"/>
      <c r="J141" s="97"/>
    </row>
    <row r="142" ht="14.25" customHeight="1">
      <c r="A142" s="95"/>
      <c r="B142" s="96"/>
      <c r="C142" s="97"/>
      <c r="D142" s="97"/>
      <c r="J142" s="97"/>
    </row>
    <row r="143" ht="14.25" customHeight="1">
      <c r="A143" s="95"/>
      <c r="B143" s="96"/>
      <c r="C143" s="97"/>
      <c r="D143" s="97"/>
      <c r="J143" s="97"/>
    </row>
    <row r="144" ht="14.25" customHeight="1">
      <c r="A144" s="95"/>
      <c r="B144" s="96"/>
      <c r="C144" s="97"/>
      <c r="D144" s="97"/>
      <c r="J144" s="97"/>
    </row>
    <row r="145" ht="14.25" customHeight="1">
      <c r="A145" s="95"/>
      <c r="B145" s="96"/>
      <c r="C145" s="97"/>
      <c r="D145" s="97"/>
      <c r="J145" s="97"/>
    </row>
    <row r="146" ht="14.25" customHeight="1">
      <c r="A146" s="95"/>
      <c r="B146" s="96"/>
      <c r="C146" s="97"/>
      <c r="D146" s="97"/>
      <c r="J146" s="97"/>
    </row>
    <row r="147" ht="14.25" customHeight="1">
      <c r="A147" s="95"/>
      <c r="B147" s="96"/>
      <c r="C147" s="97"/>
      <c r="D147" s="97"/>
      <c r="J147" s="97"/>
    </row>
    <row r="148" ht="14.25" customHeight="1">
      <c r="A148" s="95"/>
      <c r="B148" s="96"/>
      <c r="C148" s="97"/>
      <c r="D148" s="97"/>
      <c r="J148" s="97"/>
    </row>
    <row r="149" ht="14.25" customHeight="1">
      <c r="A149" s="95"/>
      <c r="B149" s="96"/>
      <c r="C149" s="97"/>
      <c r="D149" s="97"/>
      <c r="J149" s="97"/>
    </row>
    <row r="150" ht="14.25" customHeight="1">
      <c r="A150" s="95"/>
      <c r="B150" s="96"/>
      <c r="C150" s="97"/>
      <c r="D150" s="97"/>
      <c r="J150" s="97"/>
    </row>
    <row r="151" ht="14.25" customHeight="1">
      <c r="A151" s="95"/>
      <c r="B151" s="96"/>
      <c r="C151" s="97"/>
      <c r="D151" s="97"/>
      <c r="J151" s="97"/>
    </row>
    <row r="152" ht="14.25" customHeight="1">
      <c r="A152" s="95"/>
      <c r="B152" s="96"/>
      <c r="C152" s="97"/>
      <c r="D152" s="97"/>
      <c r="J152" s="97"/>
    </row>
    <row r="153" ht="14.25" customHeight="1">
      <c r="A153" s="95"/>
      <c r="B153" s="96"/>
      <c r="C153" s="97"/>
      <c r="D153" s="97"/>
      <c r="J153" s="97"/>
    </row>
    <row r="154" ht="14.25" customHeight="1">
      <c r="A154" s="95"/>
      <c r="B154" s="96"/>
      <c r="C154" s="97"/>
      <c r="D154" s="97"/>
      <c r="J154" s="97"/>
    </row>
    <row r="155" ht="14.25" customHeight="1">
      <c r="A155" s="95"/>
      <c r="B155" s="96"/>
      <c r="C155" s="97"/>
      <c r="D155" s="97"/>
      <c r="J155" s="97"/>
    </row>
    <row r="156" ht="14.25" customHeight="1">
      <c r="A156" s="95"/>
      <c r="B156" s="96"/>
      <c r="C156" s="97"/>
      <c r="D156" s="97"/>
      <c r="J156" s="97"/>
    </row>
    <row r="157" ht="14.25" customHeight="1">
      <c r="A157" s="95"/>
      <c r="B157" s="96"/>
      <c r="C157" s="97"/>
      <c r="D157" s="97"/>
      <c r="J157" s="97"/>
    </row>
    <row r="158" ht="14.25" customHeight="1">
      <c r="A158" s="95"/>
      <c r="B158" s="96"/>
      <c r="C158" s="97"/>
      <c r="D158" s="97"/>
      <c r="J158" s="97"/>
    </row>
    <row r="159" ht="14.25" customHeight="1">
      <c r="A159" s="95"/>
      <c r="B159" s="96"/>
      <c r="C159" s="97"/>
      <c r="D159" s="97"/>
      <c r="J159" s="97"/>
    </row>
    <row r="160" ht="14.25" customHeight="1">
      <c r="A160" s="95"/>
      <c r="B160" s="96"/>
      <c r="C160" s="97"/>
      <c r="D160" s="97"/>
      <c r="J160" s="97"/>
    </row>
    <row r="161" ht="14.25" customHeight="1">
      <c r="A161" s="95"/>
      <c r="B161" s="96"/>
      <c r="C161" s="97"/>
      <c r="D161" s="97"/>
      <c r="J161" s="97"/>
    </row>
    <row r="162" ht="14.25" customHeight="1">
      <c r="A162" s="95"/>
      <c r="B162" s="96"/>
      <c r="C162" s="97"/>
      <c r="D162" s="97"/>
      <c r="J162" s="97"/>
    </row>
    <row r="163" ht="14.25" customHeight="1">
      <c r="A163" s="95"/>
      <c r="B163" s="96"/>
      <c r="C163" s="97"/>
      <c r="D163" s="97"/>
      <c r="J163" s="97"/>
    </row>
    <row r="164" ht="14.25" customHeight="1">
      <c r="A164" s="95"/>
      <c r="B164" s="96"/>
      <c r="C164" s="97"/>
      <c r="D164" s="97"/>
      <c r="J164" s="97"/>
    </row>
    <row r="165" ht="14.25" customHeight="1">
      <c r="A165" s="95"/>
      <c r="B165" s="96"/>
      <c r="C165" s="97"/>
      <c r="D165" s="97"/>
      <c r="J165" s="97"/>
    </row>
    <row r="166" ht="14.25" customHeight="1">
      <c r="A166" s="95"/>
      <c r="B166" s="96"/>
      <c r="C166" s="97"/>
      <c r="D166" s="97"/>
      <c r="J166" s="97"/>
    </row>
    <row r="167" ht="14.25" customHeight="1">
      <c r="A167" s="95"/>
      <c r="B167" s="96"/>
      <c r="C167" s="97"/>
      <c r="D167" s="97"/>
      <c r="J167" s="97"/>
    </row>
    <row r="168" ht="14.25" customHeight="1">
      <c r="A168" s="95"/>
      <c r="B168" s="96"/>
      <c r="C168" s="97"/>
      <c r="D168" s="97"/>
      <c r="J168" s="97"/>
    </row>
    <row r="169" ht="14.25" customHeight="1">
      <c r="A169" s="95"/>
      <c r="B169" s="96"/>
      <c r="C169" s="97"/>
      <c r="D169" s="97"/>
      <c r="J169" s="97"/>
    </row>
    <row r="170" ht="14.25" customHeight="1">
      <c r="A170" s="95"/>
      <c r="B170" s="96"/>
      <c r="C170" s="97"/>
      <c r="D170" s="97"/>
      <c r="J170" s="97"/>
    </row>
    <row r="171" ht="14.25" customHeight="1">
      <c r="A171" s="95"/>
      <c r="B171" s="96"/>
      <c r="C171" s="97"/>
      <c r="D171" s="97"/>
      <c r="J171" s="97"/>
    </row>
    <row r="172" ht="14.25" customHeight="1">
      <c r="A172" s="95"/>
      <c r="B172" s="96"/>
      <c r="C172" s="97"/>
      <c r="D172" s="97"/>
      <c r="J172" s="97"/>
    </row>
    <row r="173" ht="14.25" customHeight="1">
      <c r="A173" s="95"/>
      <c r="B173" s="96"/>
      <c r="C173" s="97"/>
      <c r="D173" s="97"/>
      <c r="J173" s="97"/>
    </row>
    <row r="174" ht="14.25" customHeight="1">
      <c r="A174" s="95"/>
      <c r="B174" s="96"/>
      <c r="C174" s="97"/>
      <c r="D174" s="97"/>
      <c r="J174" s="97"/>
    </row>
    <row r="175" ht="14.25" customHeight="1">
      <c r="A175" s="95"/>
      <c r="B175" s="96"/>
      <c r="C175" s="97"/>
      <c r="D175" s="97"/>
      <c r="J175" s="97"/>
    </row>
    <row r="176" ht="14.25" customHeight="1">
      <c r="A176" s="95"/>
      <c r="B176" s="96"/>
      <c r="C176" s="97"/>
      <c r="D176" s="97"/>
      <c r="J176" s="97"/>
    </row>
    <row r="177" ht="14.25" customHeight="1">
      <c r="A177" s="95"/>
      <c r="B177" s="96"/>
      <c r="C177" s="97"/>
      <c r="D177" s="97"/>
      <c r="J177" s="97"/>
    </row>
    <row r="178" ht="14.25" customHeight="1">
      <c r="A178" s="95"/>
      <c r="B178" s="96"/>
      <c r="C178" s="97"/>
      <c r="D178" s="97"/>
      <c r="J178" s="97"/>
    </row>
    <row r="179" ht="14.25" customHeight="1">
      <c r="A179" s="95"/>
      <c r="B179" s="96"/>
      <c r="C179" s="97"/>
      <c r="D179" s="97"/>
      <c r="J179" s="97"/>
    </row>
    <row r="180" ht="14.25" customHeight="1">
      <c r="A180" s="95"/>
      <c r="B180" s="96"/>
      <c r="C180" s="97"/>
      <c r="D180" s="97"/>
      <c r="J180" s="97"/>
    </row>
    <row r="181" ht="14.25" customHeight="1">
      <c r="A181" s="95"/>
      <c r="B181" s="96"/>
      <c r="C181" s="97"/>
      <c r="D181" s="97"/>
      <c r="J181" s="97"/>
    </row>
    <row r="182" ht="14.25" customHeight="1">
      <c r="A182" s="95"/>
      <c r="B182" s="96"/>
      <c r="C182" s="97"/>
      <c r="D182" s="97"/>
      <c r="J182" s="97"/>
    </row>
    <row r="183" ht="14.25" customHeight="1">
      <c r="A183" s="95"/>
      <c r="B183" s="96"/>
      <c r="C183" s="97"/>
      <c r="D183" s="97"/>
      <c r="J183" s="97"/>
    </row>
    <row r="184" ht="14.25" customHeight="1">
      <c r="A184" s="95"/>
      <c r="B184" s="96"/>
      <c r="C184" s="97"/>
      <c r="D184" s="97"/>
      <c r="J184" s="97"/>
    </row>
    <row r="185" ht="14.25" customHeight="1">
      <c r="A185" s="95"/>
      <c r="B185" s="96"/>
      <c r="C185" s="97"/>
      <c r="D185" s="97"/>
      <c r="J185" s="97"/>
    </row>
    <row r="186" ht="14.25" customHeight="1">
      <c r="A186" s="95"/>
      <c r="B186" s="96"/>
      <c r="C186" s="97"/>
      <c r="D186" s="97"/>
      <c r="J186" s="97"/>
    </row>
    <row r="187" ht="14.25" customHeight="1">
      <c r="A187" s="95"/>
      <c r="B187" s="96"/>
      <c r="C187" s="97"/>
      <c r="D187" s="97"/>
      <c r="J187" s="97"/>
    </row>
    <row r="188" ht="14.25" customHeight="1">
      <c r="A188" s="95"/>
      <c r="B188" s="96"/>
      <c r="C188" s="97"/>
      <c r="D188" s="97"/>
      <c r="J188" s="97"/>
    </row>
    <row r="189" ht="14.25" customHeight="1">
      <c r="A189" s="95"/>
      <c r="B189" s="96"/>
      <c r="C189" s="97"/>
      <c r="D189" s="97"/>
      <c r="J189" s="97"/>
    </row>
    <row r="190" ht="14.25" customHeight="1">
      <c r="A190" s="95"/>
      <c r="B190" s="96"/>
      <c r="C190" s="97"/>
      <c r="D190" s="97"/>
      <c r="J190" s="97"/>
    </row>
    <row r="191" ht="14.25" customHeight="1">
      <c r="A191" s="95"/>
      <c r="B191" s="96"/>
      <c r="C191" s="97"/>
      <c r="D191" s="97"/>
      <c r="J191" s="97"/>
    </row>
    <row r="192" ht="14.25" customHeight="1">
      <c r="A192" s="95"/>
      <c r="B192" s="96"/>
      <c r="C192" s="97"/>
      <c r="D192" s="97"/>
      <c r="J192" s="97"/>
    </row>
    <row r="193" ht="14.25" customHeight="1">
      <c r="A193" s="95"/>
      <c r="B193" s="96"/>
      <c r="C193" s="97"/>
      <c r="D193" s="97"/>
      <c r="J193" s="97"/>
    </row>
    <row r="194" ht="14.25" customHeight="1">
      <c r="A194" s="95"/>
      <c r="B194" s="96"/>
      <c r="C194" s="97"/>
      <c r="D194" s="97"/>
      <c r="J194" s="97"/>
    </row>
    <row r="195" ht="14.25" customHeight="1">
      <c r="A195" s="95"/>
      <c r="B195" s="96"/>
      <c r="C195" s="97"/>
      <c r="D195" s="97"/>
      <c r="J195" s="97"/>
    </row>
    <row r="196" ht="14.25" customHeight="1">
      <c r="A196" s="95"/>
      <c r="B196" s="96"/>
      <c r="C196" s="97"/>
      <c r="D196" s="97"/>
      <c r="J196" s="97"/>
    </row>
    <row r="197" ht="14.25" customHeight="1">
      <c r="A197" s="95"/>
      <c r="B197" s="96"/>
      <c r="C197" s="97"/>
      <c r="D197" s="97"/>
      <c r="J197" s="97"/>
    </row>
    <row r="198" ht="14.25" customHeight="1">
      <c r="A198" s="95"/>
      <c r="B198" s="96"/>
      <c r="C198" s="97"/>
      <c r="D198" s="97"/>
      <c r="J198" s="97"/>
    </row>
    <row r="199" ht="14.25" customHeight="1">
      <c r="A199" s="95"/>
      <c r="B199" s="96"/>
      <c r="C199" s="97"/>
      <c r="D199" s="97"/>
      <c r="J199" s="97"/>
    </row>
    <row r="200" ht="14.25" customHeight="1">
      <c r="A200" s="95"/>
      <c r="B200" s="96"/>
      <c r="C200" s="97"/>
      <c r="D200" s="97"/>
      <c r="J200" s="97"/>
    </row>
    <row r="201" ht="14.25" customHeight="1">
      <c r="A201" s="95"/>
      <c r="B201" s="96"/>
      <c r="C201" s="97"/>
      <c r="D201" s="97"/>
      <c r="J201" s="97"/>
    </row>
    <row r="202" ht="14.25" customHeight="1">
      <c r="A202" s="95"/>
      <c r="B202" s="96"/>
      <c r="C202" s="97"/>
      <c r="D202" s="97"/>
      <c r="J202" s="97"/>
    </row>
    <row r="203" ht="14.25" customHeight="1">
      <c r="A203" s="95"/>
      <c r="B203" s="96"/>
      <c r="C203" s="97"/>
      <c r="D203" s="97"/>
      <c r="J203" s="97"/>
    </row>
    <row r="204" ht="14.25" customHeight="1">
      <c r="A204" s="95"/>
      <c r="B204" s="96"/>
      <c r="C204" s="97"/>
      <c r="D204" s="97"/>
      <c r="J204" s="97"/>
    </row>
    <row r="205" ht="14.25" customHeight="1">
      <c r="A205" s="95"/>
      <c r="B205" s="96"/>
      <c r="C205" s="97"/>
      <c r="D205" s="97"/>
      <c r="J205" s="97"/>
    </row>
    <row r="206" ht="14.25" customHeight="1">
      <c r="A206" s="95"/>
      <c r="B206" s="96"/>
      <c r="C206" s="97"/>
      <c r="D206" s="97"/>
      <c r="J206" s="97"/>
    </row>
    <row r="207" ht="14.25" customHeight="1">
      <c r="A207" s="95"/>
      <c r="B207" s="96"/>
      <c r="C207" s="97"/>
      <c r="D207" s="97"/>
      <c r="J207" s="97"/>
    </row>
    <row r="208" ht="14.25" customHeight="1">
      <c r="A208" s="95"/>
      <c r="B208" s="96"/>
      <c r="C208" s="97"/>
      <c r="D208" s="97"/>
      <c r="J208" s="97"/>
    </row>
    <row r="209" ht="14.25" customHeight="1">
      <c r="A209" s="95"/>
      <c r="B209" s="96"/>
      <c r="C209" s="97"/>
      <c r="D209" s="97"/>
      <c r="J209" s="97"/>
    </row>
    <row r="210" ht="14.25" customHeight="1">
      <c r="A210" s="95"/>
      <c r="B210" s="96"/>
      <c r="C210" s="97"/>
      <c r="D210" s="97"/>
      <c r="J210" s="97"/>
    </row>
    <row r="211" ht="14.25" customHeight="1">
      <c r="A211" s="95"/>
      <c r="B211" s="96"/>
      <c r="C211" s="97"/>
      <c r="D211" s="97"/>
      <c r="J211" s="97"/>
    </row>
    <row r="212" ht="14.25" customHeight="1">
      <c r="A212" s="95"/>
      <c r="B212" s="96"/>
      <c r="C212" s="97"/>
      <c r="D212" s="97"/>
      <c r="J212" s="97"/>
    </row>
    <row r="213" ht="14.25" customHeight="1">
      <c r="A213" s="95"/>
      <c r="B213" s="96"/>
      <c r="C213" s="97"/>
      <c r="D213" s="97"/>
      <c r="J213" s="97"/>
    </row>
    <row r="214" ht="14.25" customHeight="1">
      <c r="A214" s="95"/>
      <c r="B214" s="96"/>
      <c r="C214" s="97"/>
      <c r="D214" s="97"/>
      <c r="J214" s="97"/>
    </row>
    <row r="215" ht="14.25" customHeight="1">
      <c r="A215" s="95"/>
      <c r="B215" s="96"/>
      <c r="C215" s="97"/>
      <c r="D215" s="97"/>
      <c r="J215" s="97"/>
    </row>
    <row r="216" ht="14.25" customHeight="1">
      <c r="A216" s="95"/>
      <c r="B216" s="96"/>
      <c r="C216" s="97"/>
      <c r="D216" s="97"/>
      <c r="J216" s="97"/>
    </row>
    <row r="217" ht="14.25" customHeight="1">
      <c r="A217" s="95"/>
      <c r="B217" s="96"/>
      <c r="C217" s="97"/>
      <c r="D217" s="97"/>
      <c r="J217" s="97"/>
    </row>
    <row r="218" ht="14.25" customHeight="1">
      <c r="A218" s="95"/>
      <c r="B218" s="96"/>
      <c r="C218" s="97"/>
      <c r="D218" s="97"/>
      <c r="J218" s="97"/>
    </row>
    <row r="219" ht="14.25" customHeight="1">
      <c r="A219" s="95"/>
      <c r="B219" s="96"/>
      <c r="C219" s="97"/>
      <c r="D219" s="97"/>
      <c r="J219" s="97"/>
    </row>
    <row r="220" ht="14.25" customHeight="1">
      <c r="A220" s="95"/>
      <c r="B220" s="96"/>
      <c r="C220" s="97"/>
      <c r="D220" s="97"/>
      <c r="J220" s="97"/>
    </row>
    <row r="221" ht="14.25" customHeight="1">
      <c r="A221" s="95"/>
      <c r="B221" s="96"/>
      <c r="C221" s="97"/>
      <c r="D221" s="97"/>
      <c r="J221" s="97"/>
    </row>
    <row r="222" ht="14.25" customHeight="1">
      <c r="A222" s="95"/>
      <c r="B222" s="96"/>
      <c r="C222" s="97"/>
      <c r="D222" s="97"/>
      <c r="J222" s="97"/>
    </row>
    <row r="223" ht="14.25" customHeight="1">
      <c r="A223" s="95"/>
      <c r="B223" s="96"/>
      <c r="C223" s="97"/>
      <c r="D223" s="97"/>
      <c r="J223" s="97"/>
    </row>
    <row r="224" ht="14.25" customHeight="1">
      <c r="A224" s="95"/>
      <c r="B224" s="96"/>
      <c r="C224" s="97"/>
      <c r="D224" s="97"/>
      <c r="J224" s="97"/>
    </row>
    <row r="225" ht="14.25" customHeight="1">
      <c r="A225" s="95"/>
      <c r="B225" s="96"/>
      <c r="C225" s="97"/>
      <c r="D225" s="97"/>
      <c r="J225" s="97"/>
    </row>
    <row r="226" ht="14.25" customHeight="1">
      <c r="A226" s="95"/>
      <c r="B226" s="96"/>
      <c r="C226" s="97"/>
      <c r="D226" s="97"/>
      <c r="J226" s="97"/>
    </row>
    <row r="227" ht="14.25" customHeight="1">
      <c r="A227" s="95"/>
      <c r="B227" s="96"/>
      <c r="C227" s="97"/>
      <c r="D227" s="97"/>
      <c r="J227" s="97"/>
    </row>
    <row r="228" ht="14.25" customHeight="1">
      <c r="A228" s="95"/>
      <c r="B228" s="96"/>
      <c r="C228" s="97"/>
      <c r="D228" s="97"/>
      <c r="J228" s="97"/>
    </row>
    <row r="229" ht="14.25" customHeight="1">
      <c r="A229" s="95"/>
      <c r="B229" s="96"/>
      <c r="C229" s="97"/>
      <c r="D229" s="97"/>
      <c r="J229" s="97"/>
    </row>
    <row r="230" ht="14.25" customHeight="1">
      <c r="A230" s="95"/>
      <c r="B230" s="96"/>
      <c r="C230" s="97"/>
      <c r="D230" s="97"/>
      <c r="J230" s="97"/>
    </row>
    <row r="231" ht="14.25" customHeight="1">
      <c r="A231" s="95"/>
      <c r="B231" s="96"/>
      <c r="C231" s="97"/>
      <c r="D231" s="97"/>
      <c r="J231" s="97"/>
    </row>
    <row r="232" ht="14.25" customHeight="1">
      <c r="A232" s="95"/>
      <c r="B232" s="96"/>
      <c r="C232" s="97"/>
      <c r="D232" s="97"/>
      <c r="J232" s="97"/>
    </row>
    <row r="233" ht="14.25" customHeight="1">
      <c r="A233" s="95"/>
      <c r="B233" s="96"/>
      <c r="C233" s="97"/>
      <c r="D233" s="97"/>
      <c r="J233" s="97"/>
    </row>
    <row r="234" ht="14.25" customHeight="1">
      <c r="A234" s="95"/>
      <c r="B234" s="96"/>
      <c r="C234" s="97"/>
      <c r="D234" s="97"/>
      <c r="J234" s="97"/>
    </row>
    <row r="235" ht="14.25" customHeight="1">
      <c r="A235" s="95"/>
      <c r="B235" s="96"/>
      <c r="C235" s="97"/>
      <c r="D235" s="97"/>
      <c r="J235" s="97"/>
    </row>
    <row r="236" ht="14.25" customHeight="1">
      <c r="A236" s="95"/>
      <c r="B236" s="96"/>
      <c r="C236" s="97"/>
      <c r="D236" s="97"/>
      <c r="J236" s="97"/>
    </row>
    <row r="237" ht="14.25" customHeight="1">
      <c r="A237" s="95"/>
      <c r="B237" s="96"/>
      <c r="C237" s="97"/>
      <c r="D237" s="97"/>
      <c r="J237" s="97"/>
    </row>
    <row r="238" ht="14.25" customHeight="1">
      <c r="A238" s="95"/>
      <c r="B238" s="96"/>
      <c r="C238" s="97"/>
      <c r="D238" s="97"/>
      <c r="J238" s="97"/>
    </row>
    <row r="239" ht="14.25" customHeight="1">
      <c r="A239" s="95"/>
      <c r="B239" s="96"/>
      <c r="C239" s="97"/>
      <c r="D239" s="97"/>
      <c r="J239" s="97"/>
    </row>
    <row r="240" ht="14.25" customHeight="1">
      <c r="A240" s="95"/>
      <c r="B240" s="96"/>
      <c r="C240" s="97"/>
      <c r="D240" s="97"/>
      <c r="J240" s="97"/>
    </row>
    <row r="241" ht="14.25" customHeight="1">
      <c r="A241" s="95"/>
      <c r="B241" s="96"/>
      <c r="C241" s="97"/>
      <c r="D241" s="97"/>
      <c r="J241" s="97"/>
    </row>
    <row r="242" ht="14.25" customHeight="1">
      <c r="A242" s="95"/>
      <c r="B242" s="96"/>
      <c r="C242" s="97"/>
      <c r="D242" s="97"/>
      <c r="J242" s="97"/>
    </row>
    <row r="243" ht="14.25" customHeight="1">
      <c r="A243" s="95"/>
      <c r="B243" s="96"/>
      <c r="C243" s="97"/>
      <c r="D243" s="97"/>
      <c r="J243" s="97"/>
    </row>
    <row r="244" ht="14.25" customHeight="1">
      <c r="A244" s="95"/>
      <c r="B244" s="96"/>
      <c r="C244" s="97"/>
      <c r="D244" s="97"/>
      <c r="J244" s="97"/>
    </row>
    <row r="245" ht="14.25" customHeight="1">
      <c r="A245" s="95"/>
      <c r="B245" s="96"/>
      <c r="C245" s="97"/>
      <c r="D245" s="97"/>
      <c r="J245" s="97"/>
    </row>
    <row r="246" ht="14.25" customHeight="1">
      <c r="A246" s="95"/>
      <c r="B246" s="96"/>
      <c r="C246" s="97"/>
      <c r="D246" s="97"/>
      <c r="J246" s="97"/>
    </row>
    <row r="247" ht="14.25" customHeight="1">
      <c r="A247" s="95"/>
      <c r="B247" s="96"/>
      <c r="C247" s="97"/>
      <c r="D247" s="97"/>
      <c r="J247" s="97"/>
    </row>
    <row r="248" ht="14.25" customHeight="1">
      <c r="A248" s="95"/>
      <c r="B248" s="96"/>
      <c r="C248" s="97"/>
      <c r="D248" s="97"/>
      <c r="J248" s="97"/>
    </row>
    <row r="249" ht="14.25" customHeight="1">
      <c r="A249" s="95"/>
      <c r="B249" s="96"/>
      <c r="C249" s="97"/>
      <c r="D249" s="97"/>
      <c r="J249" s="97"/>
    </row>
    <row r="250" ht="14.25" customHeight="1">
      <c r="A250" s="95"/>
      <c r="B250" s="96"/>
      <c r="C250" s="97"/>
      <c r="D250" s="97"/>
      <c r="J250" s="97"/>
    </row>
    <row r="251" ht="14.25" customHeight="1">
      <c r="A251" s="95"/>
      <c r="B251" s="96"/>
      <c r="C251" s="97"/>
      <c r="D251" s="97"/>
      <c r="J251" s="97"/>
    </row>
    <row r="252" ht="14.25" customHeight="1">
      <c r="A252" s="95"/>
      <c r="B252" s="96"/>
      <c r="C252" s="97"/>
      <c r="D252" s="97"/>
      <c r="J252" s="97"/>
    </row>
    <row r="253" ht="14.25" customHeight="1">
      <c r="A253" s="95"/>
      <c r="B253" s="96"/>
      <c r="C253" s="97"/>
      <c r="D253" s="97"/>
      <c r="J253" s="97"/>
    </row>
    <row r="254" ht="14.25" customHeight="1">
      <c r="A254" s="95"/>
      <c r="B254" s="96"/>
      <c r="C254" s="97"/>
      <c r="D254" s="97"/>
      <c r="J254" s="97"/>
    </row>
    <row r="255" ht="14.25" customHeight="1">
      <c r="A255" s="95"/>
      <c r="B255" s="96"/>
      <c r="C255" s="97"/>
      <c r="D255" s="97"/>
      <c r="J255" s="97"/>
    </row>
    <row r="256" ht="14.25" customHeight="1">
      <c r="A256" s="95"/>
      <c r="B256" s="96"/>
      <c r="C256" s="97"/>
      <c r="D256" s="97"/>
      <c r="J256" s="97"/>
    </row>
    <row r="257" ht="14.25" customHeight="1">
      <c r="A257" s="95"/>
      <c r="B257" s="96"/>
      <c r="C257" s="97"/>
      <c r="D257" s="97"/>
      <c r="J257" s="97"/>
    </row>
    <row r="258" ht="14.25" customHeight="1">
      <c r="A258" s="95"/>
      <c r="B258" s="96"/>
      <c r="C258" s="97"/>
      <c r="D258" s="97"/>
      <c r="J258" s="97"/>
    </row>
    <row r="259" ht="14.25" customHeight="1">
      <c r="A259" s="95"/>
      <c r="B259" s="96"/>
      <c r="C259" s="97"/>
      <c r="D259" s="97"/>
      <c r="J259" s="97"/>
    </row>
    <row r="260" ht="14.25" customHeight="1">
      <c r="A260" s="95"/>
      <c r="B260" s="96"/>
      <c r="C260" s="97"/>
      <c r="D260" s="97"/>
      <c r="J260" s="97"/>
    </row>
    <row r="261" ht="14.25" customHeight="1">
      <c r="A261" s="95"/>
      <c r="B261" s="96"/>
      <c r="C261" s="97"/>
      <c r="D261" s="97"/>
      <c r="J261" s="97"/>
    </row>
    <row r="262" ht="14.25" customHeight="1">
      <c r="A262" s="95"/>
      <c r="B262" s="96"/>
      <c r="C262" s="97"/>
      <c r="D262" s="97"/>
      <c r="J262" s="97"/>
    </row>
    <row r="263" ht="14.25" customHeight="1">
      <c r="A263" s="95"/>
      <c r="B263" s="96"/>
      <c r="C263" s="97"/>
      <c r="D263" s="97"/>
      <c r="J263" s="97"/>
    </row>
    <row r="264" ht="14.25" customHeight="1">
      <c r="A264" s="95"/>
      <c r="B264" s="96"/>
      <c r="C264" s="97"/>
      <c r="D264" s="97"/>
      <c r="J264" s="97"/>
    </row>
    <row r="265" ht="14.25" customHeight="1">
      <c r="A265" s="95"/>
      <c r="B265" s="96"/>
      <c r="C265" s="97"/>
      <c r="D265" s="97"/>
      <c r="J265" s="97"/>
    </row>
    <row r="266" ht="14.25" customHeight="1">
      <c r="A266" s="95"/>
      <c r="B266" s="96"/>
      <c r="C266" s="97"/>
      <c r="D266" s="97"/>
      <c r="J266" s="97"/>
    </row>
    <row r="267" ht="14.25" customHeight="1">
      <c r="A267" s="95"/>
      <c r="B267" s="96"/>
      <c r="C267" s="97"/>
      <c r="D267" s="97"/>
      <c r="J267" s="97"/>
    </row>
    <row r="268" ht="14.25" customHeight="1">
      <c r="A268" s="95"/>
      <c r="B268" s="96"/>
      <c r="C268" s="97"/>
      <c r="D268" s="97"/>
      <c r="J268" s="97"/>
    </row>
    <row r="269" ht="14.25" customHeight="1">
      <c r="A269" s="95"/>
      <c r="B269" s="96"/>
      <c r="C269" s="97"/>
      <c r="D269" s="97"/>
      <c r="J269" s="97"/>
    </row>
    <row r="270" ht="14.25" customHeight="1">
      <c r="A270" s="95"/>
      <c r="B270" s="96"/>
      <c r="C270" s="97"/>
      <c r="D270" s="97"/>
      <c r="J270" s="97"/>
    </row>
    <row r="271" ht="14.25" customHeight="1">
      <c r="A271" s="95"/>
      <c r="B271" s="96"/>
      <c r="C271" s="97"/>
      <c r="D271" s="97"/>
      <c r="J271" s="97"/>
    </row>
    <row r="272" ht="14.25" customHeight="1">
      <c r="A272" s="95"/>
      <c r="B272" s="96"/>
      <c r="C272" s="97"/>
      <c r="D272" s="97"/>
      <c r="J272" s="97"/>
    </row>
    <row r="273" ht="14.25" customHeight="1">
      <c r="A273" s="95"/>
      <c r="B273" s="96"/>
      <c r="C273" s="97"/>
      <c r="D273" s="97"/>
      <c r="J273" s="97"/>
    </row>
    <row r="274" ht="14.25" customHeight="1">
      <c r="A274" s="95"/>
      <c r="B274" s="96"/>
      <c r="C274" s="97"/>
      <c r="D274" s="97"/>
      <c r="J274" s="97"/>
    </row>
    <row r="275" ht="14.25" customHeight="1">
      <c r="A275" s="95"/>
      <c r="B275" s="96"/>
      <c r="C275" s="97"/>
      <c r="D275" s="97"/>
      <c r="J275" s="97"/>
    </row>
    <row r="276" ht="14.25" customHeight="1">
      <c r="A276" s="95"/>
      <c r="B276" s="96"/>
      <c r="C276" s="97"/>
      <c r="D276" s="97"/>
      <c r="J276" s="97"/>
    </row>
    <row r="277" ht="14.25" customHeight="1">
      <c r="A277" s="95"/>
      <c r="B277" s="96"/>
      <c r="C277" s="97"/>
      <c r="D277" s="97"/>
      <c r="J277" s="97"/>
    </row>
    <row r="278" ht="14.25" customHeight="1">
      <c r="A278" s="95"/>
      <c r="B278" s="96"/>
      <c r="C278" s="97"/>
      <c r="D278" s="97"/>
      <c r="J278" s="97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H3:H4"/>
    <mergeCell ref="I3:J3"/>
    <mergeCell ref="H6:H7"/>
    <mergeCell ref="H11:H12"/>
    <mergeCell ref="H16:H17"/>
    <mergeCell ref="H21:H22"/>
    <mergeCell ref="H26:H27"/>
    <mergeCell ref="H31:H32"/>
    <mergeCell ref="A1:J1"/>
    <mergeCell ref="A2:A4"/>
    <mergeCell ref="B2:B4"/>
    <mergeCell ref="C2:C4"/>
    <mergeCell ref="D2:D4"/>
    <mergeCell ref="E2:J2"/>
    <mergeCell ref="E3:E4"/>
    <mergeCell ref="A5:J5"/>
    <mergeCell ref="H58:H59"/>
    <mergeCell ref="H63:H64"/>
    <mergeCell ref="H68:H69"/>
    <mergeCell ref="G76:G77"/>
    <mergeCell ref="E78:F78"/>
    <mergeCell ref="F3:F4"/>
    <mergeCell ref="G3:G4"/>
    <mergeCell ref="E41:G41"/>
    <mergeCell ref="A42:J42"/>
    <mergeCell ref="H43:H44"/>
    <mergeCell ref="H48:H49"/>
    <mergeCell ref="H53:H54"/>
  </mergeCells>
  <hyperlinks>
    <hyperlink r:id="rId1" ref="H6"/>
    <hyperlink r:id="rId2" location="slide=id.p1" ref="E9"/>
    <hyperlink r:id="rId3" ref="H11"/>
    <hyperlink r:id="rId4" location="slide=id.p1" ref="E14"/>
    <hyperlink r:id="rId5" ref="H16"/>
    <hyperlink r:id="rId6" location="slide=id.p1" ref="E19"/>
    <hyperlink r:id="rId7" ref="H21"/>
    <hyperlink r:id="rId8" ref="E23"/>
    <hyperlink r:id="rId9" location="slide=id.p1" ref="E24"/>
    <hyperlink r:id="rId10" ref="H26"/>
    <hyperlink r:id="rId11" ref="E28"/>
    <hyperlink r:id="rId12" location="slide=id.p4" ref="E29"/>
    <hyperlink r:id="rId13" ref="H31"/>
    <hyperlink r:id="rId14" location="slide=id.p1" ref="E34"/>
    <hyperlink r:id="rId15" ref="E41"/>
    <hyperlink r:id="rId16" ref="H43"/>
    <hyperlink r:id="rId17" location="slide=id.p1" ref="E46"/>
    <hyperlink r:id="rId18" ref="H48"/>
    <hyperlink r:id="rId19" location="slide=id.p15" ref="E51"/>
    <hyperlink r:id="rId20" ref="H53"/>
    <hyperlink r:id="rId21" location="slide=id.p1" ref="E56"/>
    <hyperlink r:id="rId22" ref="H58"/>
    <hyperlink r:id="rId23" location="slide=id.p1" ref="E61"/>
    <hyperlink r:id="rId24" ref="H63"/>
    <hyperlink r:id="rId25" location="slide=id.p12" ref="E66"/>
    <hyperlink r:id="rId26" ref="H68"/>
    <hyperlink r:id="rId27" location="slide=id.p8" ref="E71"/>
    <hyperlink r:id="rId28" ref="G76"/>
    <hyperlink r:id="rId29" location="slide=id.p10" ref="E78"/>
    <hyperlink r:id="rId30" ref="G78"/>
  </hyperlinks>
  <printOptions/>
  <pageMargins bottom="0.75" footer="0.0" header="0.0" left="0.7" right="0.7" top="0.75"/>
  <pageSetup fitToHeight="0" paperSize="9" orientation="landscape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32.29"/>
    <col customWidth="1" min="3" max="3" width="65.86"/>
    <col customWidth="1" min="4" max="6" width="14.43"/>
  </cols>
  <sheetData>
    <row r="1">
      <c r="A1" s="98"/>
      <c r="B1" s="98"/>
      <c r="C1" s="98"/>
      <c r="D1" s="98"/>
    </row>
    <row r="2">
      <c r="A2" s="98"/>
      <c r="B2" s="98"/>
      <c r="C2" s="98"/>
      <c r="D2" s="98"/>
    </row>
    <row r="3" ht="24.0" customHeight="1">
      <c r="A3" s="98"/>
      <c r="B3" s="98"/>
      <c r="C3" s="98"/>
      <c r="D3" s="98"/>
    </row>
    <row r="4" ht="30.75" customHeight="1">
      <c r="A4" s="98"/>
      <c r="B4" s="99" t="s">
        <v>349</v>
      </c>
      <c r="C4" s="100" t="s">
        <v>350</v>
      </c>
      <c r="D4" s="98"/>
    </row>
    <row r="5" ht="39.0" customHeight="1">
      <c r="A5" s="98"/>
      <c r="B5" s="101" t="s">
        <v>2</v>
      </c>
      <c r="C5" s="102" t="s">
        <v>191</v>
      </c>
      <c r="D5" s="98"/>
    </row>
    <row r="6" ht="39.0" customHeight="1">
      <c r="A6" s="98"/>
      <c r="B6" s="101" t="s">
        <v>351</v>
      </c>
      <c r="C6" s="103" t="str">
        <f>vlookup($C$5,'Sun 1'!$B$6:$J$78,2,0)</f>
        <v>YLE STARTERS</v>
      </c>
      <c r="D6" s="98"/>
    </row>
    <row r="7" ht="39.0" customHeight="1">
      <c r="A7" s="98"/>
      <c r="B7" s="101" t="s">
        <v>352</v>
      </c>
      <c r="C7" s="104" t="str">
        <f>vlookup($C$5,'Sun 1'!$B$6:$J$78,3,0)</f>
        <v>CAMBRIDGE MOCK TEST
LISTENING + READING + WRITING</v>
      </c>
      <c r="D7" s="98"/>
    </row>
    <row r="8" ht="39.0" customHeight="1">
      <c r="A8" s="98"/>
      <c r="B8" s="105" t="s">
        <v>6</v>
      </c>
      <c r="C8" s="106" t="str">
        <f>vlookup($C$5,'Sun 1'!$B$6:$J$78,4,0)</f>
        <v>(40 minutes) Cambridge Pre-A1 Starters (YLE Starters)  MOCK TEST
Link test: Pre-A1 Cambridge Mock Test 
(20 minutes) Test correction + Mini reflection 
(30 minutes): Game time</v>
      </c>
      <c r="D8" s="98"/>
    </row>
    <row r="9" ht="39.0" customHeight="1">
      <c r="A9" s="98"/>
      <c r="B9" s="105" t="s">
        <v>7</v>
      </c>
      <c r="C9" s="107" t="str">
        <f>vlookup($C$5,'Sun 1'!$B$6:$J$78,5,0)</f>
        <v/>
      </c>
      <c r="D9" s="98"/>
    </row>
    <row r="10" ht="39.0" customHeight="1">
      <c r="A10" s="98"/>
      <c r="B10" s="105" t="s">
        <v>8</v>
      </c>
      <c r="C10" s="107" t="str">
        <f>vlookup($C$5,'Sun 1'!$B$6:$J$78,6,0)</f>
        <v/>
      </c>
      <c r="D10" s="98"/>
    </row>
    <row r="11" ht="39.0" customHeight="1">
      <c r="A11" s="98"/>
      <c r="B11" s="105" t="s">
        <v>353</v>
      </c>
      <c r="C11" s="107" t="str">
        <f>vlookup($C$5,'Sun 1'!$B$6:$J$78,7,0)</f>
        <v/>
      </c>
      <c r="D11" s="98"/>
    </row>
    <row r="12" ht="39.0" customHeight="1">
      <c r="A12" s="98"/>
      <c r="B12" s="105" t="s">
        <v>354</v>
      </c>
      <c r="C12" s="107" t="str">
        <f>vlookup($C$5,'Sun 1'!$B$6:$J$78,8,0)</f>
        <v/>
      </c>
      <c r="D12" s="98"/>
    </row>
    <row r="13">
      <c r="A13" s="98"/>
      <c r="B13" s="98"/>
      <c r="C13" s="98"/>
      <c r="D13" s="9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4" t="s">
        <v>173</v>
      </c>
      <c r="B1" s="14" t="s">
        <v>179</v>
      </c>
      <c r="C1" s="14" t="s">
        <v>185</v>
      </c>
      <c r="D1" s="14" t="s">
        <v>189</v>
      </c>
    </row>
    <row r="2">
      <c r="A2" s="15" t="s">
        <v>165</v>
      </c>
      <c r="B2" s="15" t="s">
        <v>165</v>
      </c>
      <c r="C2" s="15" t="s">
        <v>186</v>
      </c>
      <c r="D2" s="15" t="s">
        <v>186</v>
      </c>
    </row>
    <row r="3">
      <c r="A3" s="14" t="s">
        <v>174</v>
      </c>
      <c r="B3" s="14" t="s">
        <v>180</v>
      </c>
      <c r="C3" s="29" t="s">
        <v>187</v>
      </c>
      <c r="D3" s="29" t="s">
        <v>187</v>
      </c>
    </row>
    <row r="4">
      <c r="A4" s="17" t="s">
        <v>175</v>
      </c>
      <c r="B4" s="49" t="s">
        <v>181</v>
      </c>
      <c r="C4" s="53" t="s">
        <v>188</v>
      </c>
      <c r="D4" s="55" t="s">
        <v>190</v>
      </c>
    </row>
    <row r="5">
      <c r="A5" s="32" t="s">
        <v>176</v>
      </c>
      <c r="B5" s="50" t="s">
        <v>182</v>
      </c>
      <c r="C5" s="54"/>
      <c r="D5" s="56"/>
    </row>
    <row r="6">
      <c r="A6" s="32" t="s">
        <v>177</v>
      </c>
      <c r="B6" s="50" t="s">
        <v>183</v>
      </c>
      <c r="C6" s="54"/>
      <c r="D6" s="56"/>
    </row>
    <row r="7">
      <c r="A7" s="48"/>
      <c r="B7" s="51"/>
      <c r="C7" s="54"/>
      <c r="D7" s="54"/>
    </row>
    <row r="8">
      <c r="A8" s="20" t="s">
        <v>178</v>
      </c>
      <c r="B8" s="52" t="s">
        <v>184</v>
      </c>
      <c r="C8" s="54"/>
      <c r="D8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3.71"/>
    <col customWidth="1" min="3" max="3" width="59.71"/>
    <col customWidth="1" min="4" max="6" width="14.43"/>
  </cols>
  <sheetData>
    <row r="1">
      <c r="A1" s="98"/>
      <c r="B1" s="98"/>
      <c r="C1" s="98"/>
      <c r="D1" s="98"/>
    </row>
    <row r="2">
      <c r="A2" s="98"/>
      <c r="B2" s="98"/>
      <c r="C2" s="98"/>
      <c r="D2" s="98"/>
    </row>
    <row r="3" ht="24.0" customHeight="1">
      <c r="A3" s="98"/>
      <c r="B3" s="98"/>
      <c r="C3" s="98"/>
      <c r="D3" s="98"/>
    </row>
    <row r="4" ht="30.75" customHeight="1">
      <c r="A4" s="98"/>
      <c r="B4" s="99" t="s">
        <v>349</v>
      </c>
      <c r="C4" s="100" t="s">
        <v>350</v>
      </c>
      <c r="D4" s="98"/>
    </row>
    <row r="5" ht="20.25" customHeight="1">
      <c r="A5" s="98"/>
      <c r="B5" s="108" t="s">
        <v>2</v>
      </c>
      <c r="C5" s="109" t="s">
        <v>355</v>
      </c>
      <c r="D5" s="98"/>
    </row>
    <row r="6" ht="27.75" customHeight="1">
      <c r="A6" s="98"/>
      <c r="B6" s="108" t="s">
        <v>351</v>
      </c>
      <c r="C6" s="103" t="str">
        <f>vlookup($C$5,'Sun 1'!$B$6:$J$78,2,0)</f>
        <v>UNIT 10
AT THE FUNFAIR</v>
      </c>
      <c r="D6" s="98"/>
    </row>
    <row r="7" ht="27.75" customHeight="1">
      <c r="A7" s="98"/>
      <c r="B7" s="110" t="s">
        <v>352</v>
      </c>
      <c r="C7" s="104" t="str">
        <f>vlookup($C$5,'Sun 1'!$B$6:$J$78,3,0)</f>
        <v>76-77</v>
      </c>
      <c r="D7" s="98"/>
    </row>
    <row r="8" ht="72.75" customHeight="1">
      <c r="A8" s="98"/>
      <c r="B8" s="111" t="s">
        <v>6</v>
      </c>
      <c r="C8" s="112" t="str">
        <f>vlookup($C$5,'Sun 1'!$B$6:$J$78,4,0)</f>
        <v>''- Marie's sports: Things for sports
- Trevor value: Work in teams
- (45 minutes) Unit 10 Speaking video: Unit 10_Speaking Project_At the funfair (Transport).pptx</v>
      </c>
      <c r="D8" s="98"/>
    </row>
    <row r="9" ht="40.5" customHeight="1">
      <c r="A9" s="98"/>
      <c r="B9" s="111" t="s">
        <v>7</v>
      </c>
      <c r="C9" s="113" t="str">
        <f>vlookup($C$5,'Sun 1'!$B$6:$J$78,5,0)</f>
        <v>- They've got....
- They're.....</v>
      </c>
      <c r="D9" s="98"/>
    </row>
    <row r="10" ht="84.0" customHeight="1">
      <c r="A10" s="98"/>
      <c r="B10" s="111" t="s">
        <v>8</v>
      </c>
      <c r="C10" s="107" t="str">
        <f>vlookup($C$5,'Sun 1'!$B$6:$J$78,6,0)</f>
        <v>- Students know things for each sports
- Students understand the value</v>
      </c>
      <c r="D10" s="98"/>
    </row>
    <row r="11" ht="21.75" customHeight="1">
      <c r="A11" s="98"/>
      <c r="B11" s="111" t="s">
        <v>356</v>
      </c>
      <c r="C11" s="114">
        <f>vlookup($C$5,'Sun 1'!$B$6:$J$78,8,0)</f>
        <v>40</v>
      </c>
      <c r="D11" s="98"/>
    </row>
    <row r="12" ht="36.75" customHeight="1">
      <c r="A12" s="98"/>
      <c r="B12" s="111" t="s">
        <v>357</v>
      </c>
      <c r="C12" s="114" t="s">
        <v>358</v>
      </c>
      <c r="D12" s="98"/>
    </row>
    <row r="13">
      <c r="A13" s="98"/>
      <c r="B13" s="98"/>
      <c r="C13" s="98"/>
      <c r="D13" s="9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
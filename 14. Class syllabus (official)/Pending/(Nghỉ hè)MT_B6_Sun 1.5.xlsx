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1" sheetId="1" r:id="rId5"/>
    <sheet state="visible" name="Trang tính3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cover teacher - switch lesson</t>
      </text>
    </comment>
    <comment authorId="0" ref="A46">
      <text>
        <t xml:space="preserve">cover teacher - switch lesson </t>
      </text>
    </comment>
  </commentList>
</comments>
</file>

<file path=xl/sharedStrings.xml><?xml version="1.0" encoding="utf-8"?>
<sst xmlns="http://schemas.openxmlformats.org/spreadsheetml/2006/main" count="513" uniqueCount="358">
  <si>
    <t>SUN 1 SYLLABUS</t>
  </si>
  <si>
    <t>DATES</t>
  </si>
  <si>
    <t>LESSONS</t>
  </si>
  <si>
    <t>UNIT</t>
  </si>
  <si>
    <t>Student's book
 &amp; Activity's book PAGES</t>
  </si>
  <si>
    <t>CONTENTS</t>
  </si>
  <si>
    <t>Grade</t>
  </si>
  <si>
    <t>Vocabulary</t>
  </si>
  <si>
    <t>Structures</t>
  </si>
  <si>
    <t>Lesson target</t>
  </si>
  <si>
    <t xml:space="preserve">Weekly Practice </t>
  </si>
  <si>
    <t>Homework</t>
  </si>
  <si>
    <t>SUN 1</t>
  </si>
  <si>
    <t>Handbook</t>
  </si>
  <si>
    <t>LESSON 54</t>
  </si>
  <si>
    <t>E-learning
(Assigned by CM)</t>
  </si>
  <si>
    <t>Stage 1: Seed 1</t>
  </si>
  <si>
    <t>UNITS</t>
  </si>
  <si>
    <t>LESSON 1</t>
  </si>
  <si>
    <t>UNIT 1
HELLO!</t>
  </si>
  <si>
    <t xml:space="preserve">Student's book
 &amp; Activity's book pages 
</t>
  </si>
  <si>
    <r>
      <rPr>
        <rFont val="Calibri"/>
        <b/>
        <color theme="1"/>
        <sz val="12.0"/>
      </rPr>
      <t>Class rules:</t>
    </r>
    <r>
      <rPr>
        <rFont val="Calibri"/>
        <color theme="1"/>
        <sz val="12.0"/>
      </rPr>
      <t xml:space="preserve">
1. Be quiet!
2. Sit nicely.
3. Raise your hand 
4. Speak English.
4. Listen to teacher
</t>
    </r>
    <r>
      <rPr>
        <rFont val="Calibri"/>
        <b/>
        <color theme="1"/>
        <sz val="12.0"/>
      </rPr>
      <t>- Star's family members:</t>
    </r>
    <r>
      <rPr>
        <rFont val="Calibri"/>
        <color theme="1"/>
        <sz val="12.0"/>
      </rPr>
      <t xml:space="preserve">
Mr. Star, Mrs. Star, Suzy, Simon, Stella, Maskman, Monty</t>
    </r>
  </si>
  <si>
    <t>Vocabulary
Từ vựng</t>
  </si>
  <si>
    <r>
      <rPr>
        <rFont val="Calibri"/>
        <b/>
        <color rgb="FF000000"/>
        <sz val="12.0"/>
      </rPr>
      <t>Greetings</t>
    </r>
    <r>
      <rPr>
        <rFont val="Calibri"/>
        <color rgb="FF000000"/>
        <sz val="12.0"/>
      </rPr>
      <t xml:space="preserve">: Hello, I'm .....
Goodbye
What's your name?
My name is..../I'm......
How old are you?
I'm (seven) years old.
What color is the ......?
It's ....... </t>
    </r>
  </si>
  <si>
    <t xml:space="preserve">Students remember class rules
Students know how to greet each other
Students know how to ask and answer questions about name, age and color </t>
  </si>
  <si>
    <t>Grammar
Ngữ pháp</t>
  </si>
  <si>
    <r>
      <rPr>
        <rFont val="Calibri"/>
        <b/>
        <color rgb="FFFF0000"/>
        <sz val="12.0"/>
      </rPr>
      <t xml:space="preserve">Video filming: </t>
    </r>
    <r>
      <rPr>
        <rFont val="Calibri"/>
        <color rgb="FF000000"/>
        <sz val="12.0"/>
      </rPr>
      <t xml:space="preserve">
</t>
    </r>
    <r>
      <rPr>
        <rFont val="Calibri"/>
        <b/>
        <color rgb="FF000000"/>
        <sz val="12.0"/>
      </rPr>
      <t>Students take turns to do the Role-play:</t>
    </r>
    <r>
      <rPr>
        <rFont val="Calibri"/>
        <color rgb="FF000000"/>
        <sz val="12.0"/>
      </rPr>
      <t xml:space="preserve"> (Divide the students into pairs) 
</t>
    </r>
    <r>
      <rPr>
        <rFont val="Calibri"/>
        <b/>
        <color rgb="FF000000"/>
        <sz val="12.0"/>
      </rPr>
      <t>Topic: How old are you</t>
    </r>
    <r>
      <rPr>
        <rFont val="Calibri"/>
        <color rgb="FF000000"/>
        <sz val="12.0"/>
      </rPr>
      <t xml:space="preserve">
Sample video: How old are you? - [Age] - Renewal - Easy Dialogue - Role Play - YouTube
(</t>
    </r>
    <r>
      <rPr>
        <rFont val="Calibri"/>
        <i/>
        <color rgb="FF000000"/>
        <sz val="12.0"/>
      </rPr>
      <t xml:space="preserve">Teacher prepares the Questions list (if needed) </t>
    </r>
    <r>
      <rPr>
        <rFont val="Calibri"/>
        <color rgb="FF000000"/>
        <sz val="12.0"/>
      </rPr>
      <t xml:space="preserve">) </t>
    </r>
  </si>
  <si>
    <t>Bài tập về nhà 
Handbook</t>
  </si>
  <si>
    <t xml:space="preserve"> E-learning</t>
  </si>
  <si>
    <t>UNIT 10 VOCABULARY 3 GRAMMAR 2</t>
  </si>
  <si>
    <t>Vocabulary 1</t>
  </si>
  <si>
    <t>LESSON 2</t>
  </si>
  <si>
    <t>5-6</t>
  </si>
  <si>
    <r>
      <rPr>
        <rFont val="Calibri"/>
        <b/>
        <color theme="1"/>
        <sz val="12.0"/>
      </rPr>
      <t xml:space="preserve">- Review Star's family members: </t>
    </r>
    <r>
      <rPr>
        <rFont val="Calibri"/>
        <color theme="1"/>
        <sz val="12.0"/>
      </rPr>
      <t xml:space="preserve">Mr. Star, Mrs. Star, Suzy, Simon, Stella, Maskman, Monty
</t>
    </r>
    <r>
      <rPr>
        <rFont val="Calibri"/>
        <b/>
        <color theme="1"/>
        <sz val="12.0"/>
      </rPr>
      <t xml:space="preserve">- Numbers - Chant </t>
    </r>
    <r>
      <rPr>
        <rFont val="Calibri"/>
        <color theme="1"/>
        <sz val="12.0"/>
      </rPr>
      <t xml:space="preserve">: 1-10
</t>
    </r>
    <r>
      <rPr>
        <rFont val="Calibri"/>
        <b/>
        <color theme="1"/>
        <sz val="12.0"/>
      </rPr>
      <t>- New character</t>
    </r>
    <r>
      <rPr>
        <rFont val="Calibri"/>
        <color theme="1"/>
        <sz val="12.0"/>
      </rPr>
      <t>: Meera</t>
    </r>
  </si>
  <si>
    <r>
      <rPr>
        <rFont val="Calibri"/>
        <b/>
        <color theme="1"/>
        <sz val="12.0"/>
      </rPr>
      <t>Review:</t>
    </r>
    <r>
      <rPr>
        <rFont val="Calibri"/>
        <color theme="1"/>
        <sz val="12.0"/>
      </rPr>
      <t xml:space="preserve"> Greetings: Hello, I'm .....
Goodbye
What's your name?
My name is..../I'm......
How old are you?
I'm….. (years old) 
</t>
    </r>
    <r>
      <rPr>
        <rFont val="Calibri"/>
        <b/>
        <color theme="1"/>
        <sz val="12.0"/>
      </rPr>
      <t xml:space="preserve">This is .....
</t>
    </r>
  </si>
  <si>
    <t>Students remember Vocabularies and Structure from Lesson 1
Students can ask and answer question: "How old are you? I'm .... (years old)" 
Students can answer characters and family members using "This is....."</t>
  </si>
  <si>
    <t>Vocabulary 3
Grammar 1</t>
  </si>
  <si>
    <t>LESSON 3</t>
  </si>
  <si>
    <t>7</t>
  </si>
  <si>
    <r>
      <rPr>
        <rFont val="Calibri"/>
        <color theme="1"/>
        <sz val="12.0"/>
      </rPr>
      <t xml:space="preserve">- Colors: Pink, orange, yellow, red, blue, green, purple
- Sing the song (CD1-10)
- </t>
    </r>
    <r>
      <rPr>
        <rFont val="Calibri"/>
        <b/>
        <color theme="1"/>
        <sz val="12.0"/>
      </rPr>
      <t>Speaking activity: Mixing colors and explain: "What color is it"?</t>
    </r>
    <r>
      <rPr>
        <rFont val="Calibri"/>
        <color theme="1"/>
        <sz val="12.0"/>
      </rPr>
      <t xml:space="preserve">
</t>
    </r>
  </si>
  <si>
    <t>What color is it?
It's ….</t>
  </si>
  <si>
    <t>Students can remember vocabularies about Colors
Students can ask and answer "What color is it? It's ..." 
Students can sing the song, do the activity and speak</t>
  </si>
  <si>
    <t>Vocabulary 2
Grammar 2</t>
  </si>
  <si>
    <t>LESSON 4</t>
  </si>
  <si>
    <r>
      <rPr>
        <rFont val="Calibri"/>
        <b/>
        <color theme="1"/>
        <sz val="14.0"/>
      </rPr>
      <t xml:space="preserve">UNIT 1
HELLO!
</t>
    </r>
    <r>
      <rPr>
        <rFont val="Calibri"/>
        <b/>
        <color rgb="FFFF0000"/>
        <sz val="14.0"/>
      </rPr>
      <t>Review + Speaking Project</t>
    </r>
  </si>
  <si>
    <t>8-9</t>
  </si>
  <si>
    <r>
      <rPr>
        <rFont val="Calibri"/>
        <b/>
        <color theme="1"/>
        <sz val="12.0"/>
        <u/>
      </rPr>
      <t>- Pronunciation: /s/
- Listen to the story (CD1 - 17)
-(45 minutes</t>
    </r>
    <r>
      <rPr>
        <rFont val="Calibri"/>
        <b/>
        <color theme="1"/>
        <sz val="12.0"/>
      </rPr>
      <t>) Unit 1: Speaking Project:  Sun 1_Unit 1_Speaking Project 1.pptx</t>
    </r>
  </si>
  <si>
    <t>/s/-/s/-six
/s/-/s/-star
/s/-/s/-six stars</t>
  </si>
  <si>
    <t>- Student learn some words start with /s/ sound in "Say it with Monty". Encourage students to know more words.
- With the story, make 3 questions so students will answer them after the story
- Students stand in front of the class and do the Speaking Project (Teacher records the videos)</t>
  </si>
  <si>
    <t>Grammar 3</t>
  </si>
  <si>
    <t>LESSON 5</t>
  </si>
  <si>
    <t>RREVIEW+  UNIT TEST</t>
  </si>
  <si>
    <r>
      <rPr>
        <rFont val="Calibri"/>
        <color theme="1"/>
        <sz val="12.0"/>
      </rPr>
      <t xml:space="preserve">Review Unit 1 (vocabulary and structures)
- Star's family members
- Numbers 1-10
- Colors
</t>
    </r>
    <r>
      <rPr>
        <rFont val="Calibri"/>
        <b/>
        <color rgb="FFFF0000"/>
        <sz val="12.0"/>
      </rPr>
      <t>- (45 minutes) Unit Test 1</t>
    </r>
  </si>
  <si>
    <t>Hello! I'm ….
This is …..
How old are you?
I'm…..
What color is it?
It's ….</t>
  </si>
  <si>
    <t>- Students review all vocabulary and structures</t>
  </si>
  <si>
    <t>Game 1 and 2</t>
  </si>
  <si>
    <t>LESSON 6</t>
  </si>
  <si>
    <t>UNIT 2
MY SCHOOL</t>
  </si>
  <si>
    <t>10-11</t>
  </si>
  <si>
    <r>
      <rPr>
        <rFont val="Calibri"/>
        <b/>
        <color theme="1"/>
        <sz val="12.0"/>
      </rPr>
      <t>- School things:</t>
    </r>
    <r>
      <rPr>
        <rFont val="Calibri"/>
        <color theme="1"/>
        <sz val="12.0"/>
      </rPr>
      <t xml:space="preserve"> Table,Book,Chair,Eraser, Pen, Pencil
</t>
    </r>
    <r>
      <rPr>
        <rFont val="Calibri"/>
        <b/>
        <color theme="1"/>
        <sz val="12.0"/>
      </rPr>
      <t xml:space="preserve">- Chant </t>
    </r>
    <r>
      <rPr>
        <rFont val="Calibri"/>
        <color theme="1"/>
        <sz val="12.0"/>
      </rPr>
      <t xml:space="preserve">(CD1-22): Say the chant
- Listen and correct (CD1-23) </t>
    </r>
  </si>
  <si>
    <r>
      <rPr>
        <rFont val="Calibri"/>
        <b/>
        <color theme="1"/>
        <sz val="12.0"/>
      </rPr>
      <t>What is it ? It's a…</t>
    </r>
    <r>
      <rPr>
        <rFont val="Calibri"/>
        <color theme="1"/>
        <sz val="12.0"/>
      </rPr>
      <t xml:space="preserve">
Four purple chairs, six orange chairs
</t>
    </r>
    <r>
      <rPr>
        <rFont val="Calibri"/>
        <b/>
        <color theme="1"/>
        <sz val="12.0"/>
      </rPr>
      <t>How are you?</t>
    </r>
    <r>
      <rPr>
        <rFont val="Calibri"/>
        <color theme="1"/>
        <sz val="12.0"/>
      </rPr>
      <t xml:space="preserve">
I'm fine, thank you.</t>
    </r>
  </si>
  <si>
    <t>Remember school things
Start using adjective with noun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</si>
  <si>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Crayons? </t>
    </r>
    <r>
      <rPr>
        <rFont val="Calibri"/>
        <color theme="1"/>
        <sz val="12.0"/>
      </rPr>
      <t xml:space="preserve">
Sample video: Do you have crayons? - [Have] - Renewal - Easy Dialogue - Role Play - YouTube
(Teacher prepares the Questions list (if needed) )
</t>
    </r>
  </si>
  <si>
    <t>LESSON 7</t>
  </si>
  <si>
    <t>12-13</t>
  </si>
  <si>
    <r>
      <rPr>
        <rFont val="Calibri"/>
        <color theme="1"/>
        <sz val="12.0"/>
      </rPr>
      <t xml:space="preserve">- Review School things Vocabularies: Table,Book,Chair,Eraser, Pen, Pencil (Lesson 6)
- New Characters: Lenny and Alex
</t>
    </r>
    <r>
      <rPr>
        <rFont val="Calibri"/>
        <b/>
        <color rgb="FFFF0000"/>
        <sz val="12.0"/>
      </rPr>
      <t xml:space="preserve">- Craft project and speaking: Make the puppets (page 13) </t>
    </r>
  </si>
  <si>
    <t>Who's that? 
He's (Alex). She's (Meera)
Who is she/he?
She/He is ….
How old is he/she? 
He/she is (six)</t>
  </si>
  <si>
    <r>
      <rPr>
        <rFont val="Calibri"/>
        <color theme="1"/>
        <sz val="12.0"/>
      </rPr>
      <t xml:space="preserve">Understand the differents between He and She
</t>
    </r>
    <r>
      <rPr>
        <rFont val="Calibri"/>
        <b/>
        <color rgb="FFFF0000"/>
        <sz val="12.0"/>
      </rPr>
      <t xml:space="preserve">Students know how to describe objects that related to the project </t>
    </r>
  </si>
  <si>
    <t>LESSON 8</t>
  </si>
  <si>
    <t>14-15</t>
  </si>
  <si>
    <r>
      <rPr>
        <rFont val="Calibri"/>
        <b/>
        <color theme="1"/>
        <sz val="12.0"/>
      </rPr>
      <t>- Pronunciation (initial letter sounds) : /p/ and /b/</t>
    </r>
    <r>
      <rPr>
        <rFont val="Calibri"/>
        <color theme="1"/>
        <sz val="12.0"/>
      </rPr>
      <t xml:space="preserve">
- The story
- Watching video: Simon says</t>
    </r>
  </si>
  <si>
    <t>/p/-/p/-pen
/b/-/b/-bag
A pink pen and a blue bag</t>
  </si>
  <si>
    <r>
      <rPr>
        <rFont val="Calibri"/>
        <b/>
        <color theme="1"/>
        <sz val="12.0"/>
      </rPr>
      <t xml:space="preserve">- Student learn some words start with /p/ and /b/ sound in "Say it with Monty". </t>
    </r>
    <r>
      <rPr>
        <rFont val="Calibri"/>
        <color theme="1"/>
        <sz val="12.0"/>
      </rPr>
      <t xml:space="preserve">
- With the story, make 3 question so student answer them after the story
- With the videos, students can understand and play the game.</t>
    </r>
  </si>
  <si>
    <t>LESSON 9</t>
  </si>
  <si>
    <t>16-17</t>
  </si>
  <si>
    <r>
      <rPr>
        <rFont val="Calibri"/>
        <b/>
        <color rgb="FF980000"/>
        <sz val="15.0"/>
        <u/>
      </rPr>
      <t>Maths:</t>
    </r>
    <r>
      <rPr>
        <rFont val="Calibri"/>
        <b/>
        <color theme="1"/>
        <sz val="12.0"/>
        <u/>
      </rPr>
      <t xml:space="preserve"> Marie's maths: Adding: Look and say the number 
- Trevor values: </t>
    </r>
    <r>
      <rPr>
        <rFont val="Calibri"/>
        <b/>
        <color rgb="FF980000"/>
        <sz val="12.0"/>
        <u/>
      </rPr>
      <t xml:space="preserve">(Story) </t>
    </r>
    <r>
      <rPr>
        <rFont val="Calibri"/>
        <b/>
        <color theme="1"/>
        <sz val="12.0"/>
        <u/>
      </rPr>
      <t>Make friends
-(45 minutes) Unit 2 Speaking v</t>
    </r>
    <r>
      <rPr>
        <rFont val="Calibri"/>
        <b/>
        <color theme="1"/>
        <sz val="12.0"/>
      </rPr>
      <t>ideo</t>
    </r>
    <r>
      <rPr>
        <rFont val="Calibri"/>
        <color theme="1"/>
        <sz val="12.0"/>
      </rPr>
      <t>: Sun 1_Unit 2_Speaking Project.pptx</t>
    </r>
  </si>
  <si>
    <t>1 pen and 2 pens is 3 pens</t>
  </si>
  <si>
    <t xml:space="preserve">- Students can use adding math to count things in English.
- Understand the value of making friends
- Students stand in front of the class and read the passage fluently ( Teacher records the videos)
</t>
  </si>
  <si>
    <t>LESSON 10</t>
  </si>
  <si>
    <t>REVIEW + UNIT TEST</t>
  </si>
  <si>
    <r>
      <rPr>
        <rFont val="Calibri"/>
        <color theme="1"/>
        <sz val="12.0"/>
      </rPr>
      <t xml:space="preserve">Review Unit 2 (vocabulary and structures)
- School things
- New characters: Lenny and Alex
</t>
    </r>
    <r>
      <rPr>
        <rFont val="Calibri"/>
        <b/>
        <color rgb="FFFF0000"/>
        <sz val="12.0"/>
      </rPr>
      <t xml:space="preserve">- (45 minutes) Unit Test 2 </t>
    </r>
  </si>
  <si>
    <t>What is it ? It's a…
Four purple chairs, six orange chairs
Who's that? 
He's (Alex). She's (Meera)
Who is she/he?
She/He is ….
How old is he/she? 
He/she is (six)"</t>
  </si>
  <si>
    <t xml:space="preserve">- Students review all vocabulary and structures
- Students do the Unit Test </t>
  </si>
  <si>
    <t>LESSON 11</t>
  </si>
  <si>
    <t>UNIT 3
FAVORITE TOYS</t>
  </si>
  <si>
    <t>- Toys: Ball, bike, car, computer, doll, train</t>
  </si>
  <si>
    <t>My favorite toys is a red car</t>
  </si>
  <si>
    <t>Students understand the topic and remember the words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</si>
  <si>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What color is it?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Sample video</t>
    </r>
    <r>
      <rPr>
        <rFont val="Calibri"/>
        <color theme="1"/>
        <sz val="12.0"/>
      </rPr>
      <t xml:space="preserve">:What color is it? - [Color] - Renewal - Easy Dialogue - Role Play - YouTube 
(Teacher prepares the Questions list (if needed) )
</t>
    </r>
  </si>
  <si>
    <t>LESSON 12</t>
  </si>
  <si>
    <t xml:space="preserve">- Review lesson 11
- New words: black, brown, white, grey
</t>
  </si>
  <si>
    <t>It's a green ball.
It's a black car.</t>
  </si>
  <si>
    <t>Students remember new colors and use them with toy's words.</t>
  </si>
  <si>
    <t>Vocabulary 2
Grammar 1</t>
  </si>
  <si>
    <t>LESSON 13</t>
  </si>
  <si>
    <t>20-21-22</t>
  </si>
  <si>
    <t xml:space="preserve">- Prepositions: In, on, under, next to
- Sing a song
</t>
  </si>
  <si>
    <t>- Is a ball under the chair?
Yes, it is
No, it isn't
- Where is it?
It's on the chair.</t>
  </si>
  <si>
    <t>- Student can remember prepositions and use them correctly.
- Students can sing a song together</t>
  </si>
  <si>
    <t>Vocabulary 3
Grammar 2</t>
  </si>
  <si>
    <t>LESSON 14</t>
  </si>
  <si>
    <t>22-23</t>
  </si>
  <si>
    <r>
      <rPr>
        <rFont val="Calibri"/>
        <b/>
        <color rgb="FF000000"/>
        <sz val="12.0"/>
        <u/>
      </rPr>
      <t>'</t>
    </r>
    <r>
      <rPr>
        <rFont val="Calibri"/>
        <b/>
        <color rgb="FF000000"/>
        <sz val="12.0"/>
        <u/>
      </rPr>
      <t>- Pronunciation: /t/ and /d/</t>
    </r>
    <r>
      <rPr>
        <rFont val="Calibri"/>
        <color rgb="FF000000"/>
        <sz val="12.0"/>
        <u/>
      </rPr>
      <t xml:space="preserve">
- Watch the story 
</t>
    </r>
    <r>
      <rPr>
        <rFont val="Calibri"/>
        <b/>
        <color rgb="FF000000"/>
        <sz val="12.0"/>
        <u/>
      </rPr>
      <t>- (45 minutes) Unit 3 Speaking video:</t>
    </r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UNIT 3 PRESENTATION TOYS AND COLORS.pptx</t>
    </r>
  </si>
  <si>
    <t>/t/-/t/-train
/d/-/d/-doll
Ten dolls on a train.</t>
  </si>
  <si>
    <r>
      <rPr>
        <rFont val="Calibri"/>
        <b/>
        <color theme="1"/>
        <sz val="12.0"/>
      </rPr>
      <t>- Student learn some words start with /t/ sound in "Say it with Monty".</t>
    </r>
    <r>
      <rPr>
        <rFont val="Calibri"/>
        <color theme="1"/>
        <sz val="12.0"/>
      </rPr>
      <t xml:space="preserve">
- With the story, make 3 question so students answer them after the story
- Students stand in front of the class and read the passage fluently ( Teacher records the videos)</t>
    </r>
  </si>
  <si>
    <t>LESSON 15</t>
  </si>
  <si>
    <t>REVIEW + TEST</t>
  </si>
  <si>
    <t>Review Unit 3 (vocabulary and structures)
- Toys
- New colors
- Prepositions</t>
  </si>
  <si>
    <t>My favorite toys is a red car
It's a green ball.
It's a black car.
- Is a ball under the chair?
Yes, it is
No, it isn't
- Where is it?
It's on the chair.</t>
  </si>
  <si>
    <t>LESSON 16</t>
  </si>
  <si>
    <t>UNIT 4
MY FAMILY</t>
  </si>
  <si>
    <t>24-25</t>
  </si>
  <si>
    <t>- Family: Mother, Father, Brother, Sister, grandma, grandpa</t>
  </si>
  <si>
    <t>This is my…..
He/She is my</t>
  </si>
  <si>
    <t>Students remember the words and use them with structure correctly.</t>
  </si>
  <si>
    <r>
      <rPr>
        <rFont val="Calibri"/>
        <b/>
        <color rgb="FFFF0000"/>
        <sz val="12.0"/>
      </rPr>
      <t>Video filming:</t>
    </r>
    <r>
      <rPr>
        <rFont val="Calibri"/>
        <color theme="1"/>
        <sz val="12.0"/>
      </rPr>
      <t xml:space="preserve">
Drawing and presenting: 
</t>
    </r>
    <r>
      <rPr>
        <rFont val="Calibri"/>
        <b/>
        <color rgb="FFFF0000"/>
        <sz val="12.0"/>
      </rPr>
      <t>Draw a family tree and introduce about Family members</t>
    </r>
    <r>
      <rPr>
        <rFont val="Calibri"/>
        <color theme="1"/>
        <sz val="12.0"/>
      </rPr>
      <t xml:space="preserve"> 
Template: Family Tree Template.pdf</t>
    </r>
  </si>
  <si>
    <t>LESSON 17</t>
  </si>
  <si>
    <t>26-27</t>
  </si>
  <si>
    <t>- Review lesson 16
- New words: Old-young, ugly-beautiful, happy-sad
- Sing a song</t>
  </si>
  <si>
    <t>She is happy
He is sad</t>
  </si>
  <si>
    <t>- Student can remember adjectives and use them correctly.
- Students can sing a song together</t>
  </si>
  <si>
    <t>LESSON 18</t>
  </si>
  <si>
    <t>28-29</t>
  </si>
  <si>
    <r>
      <rPr>
        <rFont val="Calibri"/>
        <b/>
        <color rgb="FF000000"/>
        <sz val="12.0"/>
        <u/>
      </rPr>
      <t>- Pronunciation: /a/</t>
    </r>
    <r>
      <rPr>
        <rFont val="Calibri"/>
        <color rgb="FF000000"/>
        <sz val="12.0"/>
        <u/>
      </rPr>
      <t xml:space="preserve">
- Watch the story (read along the script)
- Student role play 
Story: </t>
    </r>
    <r>
      <rPr>
        <rFont val="Calibri"/>
        <color rgb="FF1155CC"/>
        <sz val="12.0"/>
        <u/>
      </rPr>
      <t>https://youtu.be/s9RuBAvENhI?si=Pcbcih78PUSKIv2X&amp;t=127</t>
    </r>
  </si>
  <si>
    <t>/a/-/a/-sad
Sad cat</t>
  </si>
  <si>
    <t>- Student learn some words start with /a/ sound in "Say it with Monty".
- With the story, make 3 question so students answer them after the story
- Student do a role play  (Teacher records and give some comments)</t>
  </si>
  <si>
    <t>LESSON 19</t>
  </si>
  <si>
    <t>30-31</t>
  </si>
  <si>
    <r>
      <rPr>
        <rFont val="Calibri"/>
        <color rgb="FF000000"/>
        <sz val="12.0"/>
        <u/>
      </rPr>
      <t>- Marie's art: Mixing colours
- Trevor values: Be kind</t>
    </r>
    <r>
      <rPr>
        <rFont val="Calibri"/>
        <b/>
        <color rgb="FF000000"/>
        <sz val="12.0"/>
        <u/>
      </rPr>
      <t xml:space="preserve">
-</t>
    </r>
    <r>
      <rPr>
        <rFont val="Calibri"/>
        <b/>
        <i/>
        <color rgb="FF000000"/>
        <sz val="11.0"/>
        <u/>
      </rPr>
      <t>(45 minutes)</t>
    </r>
    <r>
      <rPr>
        <rFont val="Calibri"/>
        <b/>
        <color rgb="FF000000"/>
        <sz val="12.0"/>
        <u/>
      </rPr>
      <t xml:space="preserve"> Unit 4 Speaking video</t>
    </r>
    <r>
      <rPr>
        <rFont val="Calibri"/>
        <sz val="12.0"/>
      </rPr>
      <t>UNIT 4 MY FAMILY, FEELING, COLORS.pptx</t>
    </r>
  </si>
  <si>
    <t>What's blue and red?
It's purple.</t>
  </si>
  <si>
    <r>
      <rPr>
        <rFont val="Calibri"/>
        <color theme="1"/>
        <sz val="12.0"/>
      </rPr>
      <t xml:space="preserve">- Students know how to mix colours.
- Understand the value of be kind.
- Students stand in front of class and read fluently </t>
    </r>
    <r>
      <rPr>
        <rFont val="Calibri"/>
        <b/>
        <color theme="1"/>
        <sz val="12.0"/>
      </rPr>
      <t>(Teacher records the videos)</t>
    </r>
  </si>
  <si>
    <t>LESSON 20</t>
  </si>
  <si>
    <t>Review Unit 4 (vocabulary and structures)
- Family members
- Adjectives</t>
  </si>
  <si>
    <t>This is my…..
He/She is my
She is happy
He is sad</t>
  </si>
  <si>
    <t>LESSON 21</t>
  </si>
  <si>
    <t>UNIT 5
OUR PETS</t>
  </si>
  <si>
    <t>- Pets: dog, fish, mouse, cat, bird, horse</t>
  </si>
  <si>
    <t>- What pet is it?
It's a......</t>
  </si>
  <si>
    <r>
      <rPr>
        <rFont val="Calibri"/>
        <b/>
        <color theme="1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a pet?
Sample video: </t>
    </r>
    <r>
      <rPr>
        <rFont val="Calibri"/>
        <color theme="1"/>
        <sz val="12.0"/>
      </rPr>
      <t xml:space="preserve">Lesson 15_(B)Do you have a pet? - Cartoon Story - English Education - Easy conversation for kids - YouTube
</t>
    </r>
    <r>
      <rPr>
        <rFont val="Calibri"/>
        <i/>
        <color theme="1"/>
        <sz val="12.0"/>
      </rPr>
      <t>(Teacher prepares the Questions list (if needed) )</t>
    </r>
    <r>
      <rPr>
        <rFont val="Calibri"/>
        <color theme="1"/>
        <sz val="12.0"/>
      </rPr>
      <t xml:space="preserve">
</t>
    </r>
  </si>
  <si>
    <t>LESSON 22</t>
  </si>
  <si>
    <t>- Review pets
- Review Adj in Unit 4: Old-young, ugly-beautiful, happy-sad</t>
  </si>
  <si>
    <t>- It's/ They are....</t>
  </si>
  <si>
    <t>Students can use adj to say with pets</t>
  </si>
  <si>
    <t>LESSON 23</t>
  </si>
  <si>
    <t>36-37</t>
  </si>
  <si>
    <r>
      <rPr>
        <rFont val="Calibri"/>
        <color rgb="FF000000"/>
        <sz val="12.0"/>
        <u/>
      </rPr>
      <t xml:space="preserve">- Adjectives:  big, small, long, short, clean, dirty
- Games online: </t>
    </r>
    <r>
      <rPr>
        <rFont val="Calibri"/>
        <color rgb="FF1155CC"/>
        <sz val="12.0"/>
        <u/>
      </rPr>
      <t>Adjective practice</t>
    </r>
    <r>
      <rPr>
        <rFont val="Calibri"/>
        <color rgb="FF000000"/>
        <sz val="12.0"/>
        <u/>
      </rPr>
      <t xml:space="preserve">
- Sing a song</t>
    </r>
  </si>
  <si>
    <t>LESSON 24</t>
  </si>
  <si>
    <t>38-39</t>
  </si>
  <si>
    <r>
      <rPr>
        <rFont val="Calibri"/>
        <b/>
        <color rgb="FF000000"/>
        <sz val="12.0"/>
        <u/>
      </rPr>
      <t>- Pronunciation: /t/</t>
    </r>
    <r>
      <rPr>
        <rFont val="Calibri"/>
        <color rgb="FF000000"/>
        <sz val="12.0"/>
        <u/>
      </rPr>
      <t xml:space="preserve">
- The story</t>
    </r>
    <r>
      <rPr>
        <rFont val="Calibri"/>
        <b/>
        <color rgb="FF000000"/>
        <sz val="12.0"/>
        <u/>
      </rPr>
      <t xml:space="preserve">
- (45 minutes) Unit 5 Speaking video: </t>
    </r>
    <r>
      <rPr>
        <rFont val="Calibri"/>
        <sz val="12.0"/>
      </rPr>
      <t>Sun 1_Speaking Project_Unit 5.pptx</t>
    </r>
  </si>
  <si>
    <t>/t/-/t/- ten, red
Ten red pets</t>
  </si>
  <si>
    <r>
      <rPr>
        <rFont val="Calibri"/>
        <color theme="1"/>
        <sz val="12.0"/>
      </rPr>
      <t xml:space="preserve">- Student learn some words start with /t/ sound in "Say it with Monty".
- With the story, make 3 question so students answer them after the story
- Students stand in front of class and read fluently </t>
    </r>
    <r>
      <rPr>
        <rFont val="Calibri"/>
        <b/>
        <color theme="1"/>
        <sz val="12.0"/>
      </rPr>
      <t>(Teacher records the videos)</t>
    </r>
  </si>
  <si>
    <t>LESSON 25</t>
  </si>
  <si>
    <t>Review Unit 5 (vocabulary and structures)
- Pets
- Adjectives</t>
  </si>
  <si>
    <t>- What pet is it?
It's a......
- It's/ They are....</t>
  </si>
  <si>
    <t>LESSON 26</t>
  </si>
  <si>
    <t>UNIT 6
MY FACE</t>
  </si>
  <si>
    <t>40-41</t>
  </si>
  <si>
    <t>Parts of face: ear, hair, eye, face, teeth, nose, mouth</t>
  </si>
  <si>
    <t>- What is this?
It's .....
- This is my ....</t>
  </si>
  <si>
    <r>
      <rPr>
        <rFont val="Calibri"/>
        <b/>
        <color rgb="FFFF0000"/>
        <sz val="12.0"/>
      </rPr>
      <t>Video filming:</t>
    </r>
    <r>
      <rPr>
        <rFont val="Calibri"/>
        <color theme="1"/>
        <sz val="12.0"/>
      </rPr>
      <t xml:space="preserve">
</t>
    </r>
    <r>
      <rPr>
        <rFont val="Calibri"/>
        <b/>
        <color rgb="FF741B47"/>
        <sz val="12.0"/>
      </rPr>
      <t xml:space="preserve">Create a face: (Creative Lesson)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Draw in a blank face template</t>
    </r>
    <r>
      <rPr>
        <rFont val="Calibri"/>
        <color theme="1"/>
        <sz val="12.0"/>
      </rPr>
      <t xml:space="preserve">, create your own face. It could be a boy or a girl, feel free to design every parts of the face then describe about it.
</t>
    </r>
    <r>
      <rPr>
        <rFont val="Calibri"/>
        <b/>
        <color theme="1"/>
        <sz val="12.0"/>
      </rPr>
      <t>Blank template:</t>
    </r>
    <r>
      <rPr>
        <rFont val="Calibri"/>
        <color theme="1"/>
        <sz val="12.0"/>
      </rPr>
      <t xml:space="preserve"> Blank face Template.jpg</t>
    </r>
  </si>
  <si>
    <t>LESSON 27</t>
  </si>
  <si>
    <t>42-43</t>
  </si>
  <si>
    <t>- Review parts of face
- Sing a song</t>
  </si>
  <si>
    <t>- I have got....
- Have you got....?
Yes, I have. /No, I haven't.</t>
  </si>
  <si>
    <t>- Students can use structure to decribe their parts of face.
- Students can sing a song together</t>
  </si>
  <si>
    <t>LESSON 28</t>
  </si>
  <si>
    <t>44-45</t>
  </si>
  <si>
    <r>
      <rPr>
        <rFont val="Calibri"/>
        <b/>
        <color theme="1"/>
        <sz val="12.0"/>
      </rPr>
      <t>- Pronunciation: /gt/ and /br/</t>
    </r>
    <r>
      <rPr>
        <rFont val="Calibri"/>
        <color theme="1"/>
        <sz val="12.0"/>
      </rPr>
      <t xml:space="preserve">
- The story
- Watching videos:
+ A special shop</t>
    </r>
  </si>
  <si>
    <t>- Student learn some words start with /gr/ and /br/ sound in "Say it with Monty".
- With the story, make 3 question so students answer them after the story</t>
  </si>
  <si>
    <t>LESSON 29</t>
  </si>
  <si>
    <t>46-47</t>
  </si>
  <si>
    <r>
      <rPr>
        <rFont val="Calibri"/>
        <color rgb="FF000000"/>
        <sz val="12.0"/>
        <u/>
      </rPr>
      <t>- Marie's science: hear, see, smell, taste, touch
- Do Excercises on page 46-47 (Activity's book)</t>
    </r>
    <r>
      <rPr>
        <rFont val="Calibri"/>
        <b/>
        <color rgb="FF000000"/>
        <sz val="12.0"/>
        <u/>
      </rPr>
      <t xml:space="preserve">
</t>
    </r>
    <r>
      <rPr>
        <rFont val="Calibri"/>
        <b/>
        <sz val="12.0"/>
      </rPr>
      <t>(45 minutes): Unit 6 Speaking  video:</t>
    </r>
    <r>
      <rPr>
        <rFont val="Calibri"/>
        <color rgb="FF000000"/>
        <sz val="12.0"/>
      </rPr>
      <t xml:space="preserve">  </t>
    </r>
    <r>
      <rPr>
        <rFont val="Calibri"/>
        <sz val="12.0"/>
      </rPr>
      <t>UNIT 6 PARTS OF FACE, SENSES.pptx</t>
    </r>
  </si>
  <si>
    <t>- I see with my eyes.
- I hear with my ears.
- I smell with my nose.
- I taste with my tounge.
- I touch with my hands.</t>
  </si>
  <si>
    <r>
      <rPr>
        <rFont val="Calibri"/>
        <color theme="1"/>
        <sz val="12.0"/>
      </rPr>
      <t xml:space="preserve">- Students remember the words.
- Students understand the value.
- Students stand in front of class and read fluently </t>
    </r>
    <r>
      <rPr>
        <rFont val="Calibri"/>
        <b/>
        <color theme="1"/>
        <sz val="12.0"/>
      </rPr>
      <t>(Teacher records the videos)</t>
    </r>
  </si>
  <si>
    <t>LESSON 30</t>
  </si>
  <si>
    <t>REVIEW</t>
  </si>
  <si>
    <t>Review Unit 6 (vocabulary and structures)
- Parts of face
- Senses: see, hear, smell, taste, touch</t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</si>
  <si>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</si>
  <si>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</si>
  <si>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</si>
  <si>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</si>
  <si>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- Students review the lesson contents of Unit 1 &amp; 2</t>
  </si>
  <si>
    <t>Unit 1-2
Game 1 &amp; 2</t>
  </si>
  <si>
    <t>LESSON 32</t>
  </si>
  <si>
    <t>18-31</t>
  </si>
  <si>
    <t>Review all vocabularies of Unit 3 and 4</t>
  </si>
  <si>
    <t>What's your favorite toy?
Where's the car?
This is my mother/father/…</t>
  </si>
  <si>
    <t>- Students review the lesson contents of Unit 3 &amp; 4</t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</si>
  <si>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</si>
  <si>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</si>
  <si>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</si>
  <si>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</si>
  <si>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</si>
  <si>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- Students review the lesson contents of Unit 5 &amp; 6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</si>
  <si>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</si>
  <si>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</si>
  <si>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</si>
  <si>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</si>
  <si>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</si>
  <si>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LESSON 35</t>
  </si>
  <si>
    <t>MID-TERM SPEAKING TEST
(Speaking test for students whose aren't finished)</t>
  </si>
  <si>
    <t>LESSON 36</t>
  </si>
  <si>
    <t>YLE STARTERS</t>
  </si>
  <si>
    <t>CAMBRIDGE MOCK TEST
LISTENING + READING + WRITING</t>
  </si>
  <si>
    <r>
      <rPr>
        <rFont val="Calibri"/>
        <b/>
        <color rgb="FFFF0000"/>
        <sz val="14.0"/>
      </rPr>
      <t xml:space="preserve">(40 minutes) Cambridge Pre-A1 Starters (YLE Starters)  MOCK TEST
Link test: </t>
    </r>
    <r>
      <rPr>
        <rFont val="Calibri"/>
        <b/>
        <color rgb="FF1155CC"/>
        <sz val="14.0"/>
        <u/>
      </rPr>
      <t>Pre-A1 Cambridge Mock Test</t>
    </r>
    <r>
      <rPr>
        <rFont val="Calibri"/>
        <b/>
        <color rgb="FFFF0000"/>
        <sz val="14.0"/>
      </rPr>
      <t xml:space="preserve"> 
(20 minutes) Test correction + Mini reflection 
(30 minutes): Game time</t>
    </r>
  </si>
  <si>
    <t>Stage 2: Explorer 2</t>
  </si>
  <si>
    <t>LESSON 37</t>
  </si>
  <si>
    <t>UNIT 7
WILD ANIMALS</t>
  </si>
  <si>
    <t>Animals: giraffe, hippo, crocodile, tiger, monkey, snake.</t>
  </si>
  <si>
    <t>What animal is it?
It's a....</t>
  </si>
  <si>
    <r>
      <rPr>
        <rFont val="Calibri"/>
        <b/>
        <color theme="1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How many bears? Three bears?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Sample video</t>
    </r>
    <r>
      <rPr>
        <rFont val="Calibri"/>
        <color theme="1"/>
        <sz val="12.0"/>
      </rPr>
      <t>: [Counting] How many bears? Three bears. (In the zoo) - Easy Dialogue - English video for Kids. - YouTube
(Teacher prepares the Questions list (if needed) )</t>
    </r>
  </si>
  <si>
    <t>LESSON 38</t>
  </si>
  <si>
    <t>- Review animals
- Review adjectives in Unit 5:  big, small, long, short, clean, dirty</t>
  </si>
  <si>
    <t>- Elephants are big and clean.
- Hippos are big and dirty.</t>
  </si>
  <si>
    <t>Students can use adj to say with animals</t>
  </si>
  <si>
    <t>LESSON 39</t>
  </si>
  <si>
    <t>50-51</t>
  </si>
  <si>
    <t>Body parts: hand, arm, foot, leg, tail, feet, 
- Review animals</t>
  </si>
  <si>
    <t>- They have got....</t>
  </si>
  <si>
    <t>- Students remember new words.
- Students can use structures and vocabulary to describe animals.</t>
  </si>
  <si>
    <t>LESSON 40</t>
  </si>
  <si>
    <t>52-53</t>
  </si>
  <si>
    <r>
      <rPr>
        <rFont val="Calibri"/>
        <color theme="1"/>
        <sz val="12.0"/>
        <u/>
      </rPr>
      <t>- Pronunciation: /i/
- The story
- Watching videos:
+ A day in the zoo</t>
    </r>
    <r>
      <rPr>
        <rFont val="Calibri"/>
        <b/>
        <color theme="1"/>
        <sz val="12.0"/>
        <u/>
      </rPr>
      <t xml:space="preserve">
</t>
    </r>
    <r>
      <rPr>
        <rFont val="Calibri"/>
        <b/>
        <color theme="1"/>
        <sz val="12.0"/>
      </rPr>
      <t>- (45 minutes) Unit 7 Speaking video</t>
    </r>
    <r>
      <rPr>
        <rFont val="Calibri"/>
        <color theme="1"/>
        <sz val="12.0"/>
      </rPr>
      <t xml:space="preserve">: UNIT 7_Speaking Project_Animals.pptx </t>
    </r>
  </si>
  <si>
    <t>/i/-/i/- fish, big.
Six big fish</t>
  </si>
  <si>
    <t>- Student learn some words start with /t/ sound in "Say it with Monty".
- With the story, make 3 question so students answer them after the story.
- For videos, students watch then play Mr. Crocodile game</t>
  </si>
  <si>
    <t>LESSON 41</t>
  </si>
  <si>
    <t>Review Unit 7 (vocabulary and structures)
- Animals
- Short adjectives</t>
  </si>
  <si>
    <t>LESSON 42</t>
  </si>
  <si>
    <t>UNIT 8
MY CLOTHES</t>
  </si>
  <si>
    <t>54-55</t>
  </si>
  <si>
    <t xml:space="preserve"> Clothes: T-shirt, skirt, socks, shoes, jacket, troursers.</t>
  </si>
  <si>
    <t>- What is this? It's a....
- What are they? They're ...</t>
  </si>
  <si>
    <r>
      <rPr>
        <rFont val="Calibri"/>
        <b/>
        <sz val="12.0"/>
      </rPr>
      <t xml:space="preserve">Video filming: </t>
    </r>
    <r>
      <rPr>
        <rFont val="Calibri"/>
        <sz val="12.0"/>
      </rPr>
      <t xml:space="preserve">
Students take turns to do the Role-play: (Divide the students into pairs) 
</t>
    </r>
    <r>
      <rPr>
        <rFont val="Calibri"/>
        <b/>
        <sz val="12.0"/>
      </rPr>
      <t>Topic: Put on your pants 
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https://www.youtube.com/watch?v=gtue7EAd_XI&amp;list=PLii5rkhsE0Ld3xCgxG6j5fw7RlG2S5czO&amp;index=90</t>
    </r>
    <r>
      <rPr>
        <rFont val="Calibri"/>
        <sz val="12.0"/>
      </rPr>
      <t xml:space="preserve"> 
(Teacher prepares the Questions list (if needed) )"
</t>
    </r>
  </si>
  <si>
    <t>LESSON 43</t>
  </si>
  <si>
    <t>56-57</t>
  </si>
  <si>
    <t>- Review Clothes
- Sing a song</t>
  </si>
  <si>
    <t>- He/She has got....</t>
  </si>
  <si>
    <t>- Students know the differenct between "He" and "She"
- Students can use structure to talk about clothes of friends.
- Students can sing a song together</t>
  </si>
  <si>
    <t>LESSON 44</t>
  </si>
  <si>
    <t>58-59</t>
  </si>
  <si>
    <t>- Pronunciation: /o/
- The story</t>
  </si>
  <si>
    <t>- Student learn some words start with /gr/ and /br/ sound in "Say it with Monty".
- With the story, make 3 question so students answer them after the story.</t>
  </si>
  <si>
    <t>LESSON 45</t>
  </si>
  <si>
    <t>60-61</t>
  </si>
  <si>
    <r>
      <rPr>
        <rFont val="Calibri"/>
        <color theme="1"/>
        <sz val="12.0"/>
      </rPr>
      <t>''''- Marie's geogrpahy: Habitats
- Forest, plain, river
- Trevor value: Love nature</t>
    </r>
    <r>
      <rPr>
        <rFont val="Calibri"/>
        <b/>
        <color theme="1"/>
        <sz val="12.0"/>
      </rPr>
      <t xml:space="preserve">
- (45 minutes) Unit 8 Speaking vide</t>
    </r>
    <r>
      <rPr>
        <rFont val="Calibri"/>
        <color theme="1"/>
        <sz val="12.0"/>
      </rPr>
      <t>o:  Unit 8_Speaking Project_Clothes (1).pptx</t>
    </r>
  </si>
  <si>
    <t>- Fish live in river.
- Tigers live in forest.</t>
  </si>
  <si>
    <t>- Students know the animals habitat.
- Understnd the value of love nature.</t>
  </si>
  <si>
    <t>LESSON 46</t>
  </si>
  <si>
    <t>Review Unit 8 (vocabulary and structures)
- Clothes</t>
  </si>
  <si>
    <t>LESSON 47</t>
  </si>
  <si>
    <t>UNIT 9
FUN TIME!</t>
  </si>
  <si>
    <t>- Activities: play the piano, play basketball, play the guitar, play tennis, play football, ride a bike, swim</t>
  </si>
  <si>
    <t>- What is this?
It's .....</t>
  </si>
  <si>
    <r>
      <rPr>
        <rFont val="Calibri"/>
        <b/>
        <color rgb="FFFF0000"/>
        <sz val="12.0"/>
      </rPr>
      <t xml:space="preserve">Video filming: </t>
    </r>
    <r>
      <rPr>
        <rFont val="Calibri"/>
        <sz val="12.0"/>
      </rPr>
      <t xml:space="preserve">
Students take turns to do the Role-play: (Divide the students into pairs) 
</t>
    </r>
    <r>
      <rPr>
        <rFont val="Calibri"/>
        <b/>
        <sz val="12.0"/>
      </rPr>
      <t xml:space="preserve">Topic: What's he doing? </t>
    </r>
    <r>
      <rPr>
        <rFont val="Calibri"/>
        <sz val="12.0"/>
      </rPr>
      <t xml:space="preserve">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https://www.youtube.com/watch?v=JZrEqSnJ59s&amp;list=PLii5rkhsE0Ld3xCgxG6j5fw7RlG2S5czO&amp;index=79</t>
    </r>
    <r>
      <rPr>
        <rFont val="Calibri"/>
        <sz val="12.0"/>
      </rPr>
      <t xml:space="preserve"> 
(Teacher prepares the Questions list (if needed) )"</t>
    </r>
  </si>
  <si>
    <t>LESSON 48</t>
  </si>
  <si>
    <t>- Review activities: play the piano, play basketball, play the guitar, play tennis, play football, ride a bike, swim
- Sing a song</t>
  </si>
  <si>
    <t xml:space="preserve">- What can you do?
I can.....  </t>
  </si>
  <si>
    <t>- Students remember the words and use them with structure correctly.
- Students can sing a song together.</t>
  </si>
  <si>
    <t>LESSON 49</t>
  </si>
  <si>
    <t>66-67</t>
  </si>
  <si>
    <t>- Review activities</t>
  </si>
  <si>
    <t>- What can he/she do?
He/She can....
- He/She can't....
- Can you sing?
Yes, I can./ No, I can't.</t>
  </si>
  <si>
    <t>LESSON 50</t>
  </si>
  <si>
    <t>68-69</t>
  </si>
  <si>
    <r>
      <rPr>
        <rFont val="Calibri"/>
        <color theme="1"/>
        <sz val="12.0"/>
      </rPr>
      <t>''''- Pronunciation: /l/
- The story</t>
    </r>
    <r>
      <rPr>
        <rFont val="Calibri"/>
        <b/>
        <color theme="1"/>
        <sz val="12.0"/>
      </rPr>
      <t xml:space="preserve">
- (45 minutes) Unit 9 Speaking video</t>
    </r>
    <r>
      <rPr>
        <rFont val="Calibri"/>
        <color theme="1"/>
        <sz val="12.0"/>
      </rPr>
      <t>: Unit 9_Speaking Project_FunTime.pptx</t>
    </r>
  </si>
  <si>
    <t>/l/-/l/- Lily, blue
Lily's got a blue and yellow tail.</t>
  </si>
  <si>
    <t>- Student learn some words start with /l/ sound in "Say it with Monty".
- With the story, make 3 question so students answer them after the story.</t>
  </si>
  <si>
    <t>LESSON 51</t>
  </si>
  <si>
    <t>Review Unit 9 (vocabulary and structures)
- Activities</t>
  </si>
  <si>
    <t>LESSON 52</t>
  </si>
  <si>
    <t>UNIT 10
AT THE FUNFAIR</t>
  </si>
  <si>
    <t>70-71</t>
  </si>
  <si>
    <t>- Transports: lorry, plane, boat, helicopter, motorbike, bus</t>
  </si>
  <si>
    <t>- What's this?
It's a...
- Is the red car in the shoe?
Yes, it is./ No, it isn't.</t>
  </si>
  <si>
    <r>
      <rPr>
        <rFont val="Calibri"/>
        <b/>
        <sz val="12.0"/>
      </rPr>
      <t xml:space="preserve">Video filming: 
Students take turns to do the Role-play: (Divide the students into pairs) </t>
    </r>
    <r>
      <rPr>
        <rFont val="Calibri"/>
        <sz val="12.0"/>
      </rPr>
      <t xml:space="preserve">
</t>
    </r>
    <r>
      <rPr>
        <rFont val="Calibri"/>
        <b/>
        <sz val="12.0"/>
      </rPr>
      <t>Topic:</t>
    </r>
    <r>
      <rPr>
        <rFont val="Calibri"/>
        <sz val="12.0"/>
      </rPr>
      <t xml:space="preserve"> Whose bike is this? 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https://www.youtube.com/watch?v=nsqfrAF7OLI&amp;list=PLii5rkhsE0Ld3xCgxG6j5fw7RlG2S5czO&amp;index=73</t>
    </r>
    <r>
      <rPr>
        <rFont val="Calibri"/>
        <sz val="12.0"/>
      </rPr>
      <t xml:space="preserve"> 
(Teacher prepares the Questions list (if needed) )"</t>
    </r>
  </si>
  <si>
    <t>LESSON 53</t>
  </si>
  <si>
    <t>72-73</t>
  </si>
  <si>
    <t>- Review transports
- Verb-ing: driving, flying, riding, walking
- Sing a song</t>
  </si>
  <si>
    <t>- What are you doing?
I'm .....</t>
  </si>
  <si>
    <t>- Students can use grammar correctly</t>
  </si>
  <si>
    <t>74-75</t>
  </si>
  <si>
    <t>- Pronunciation: /u/
- The story
+ Walk around London</t>
  </si>
  <si>
    <t>/u/-duck, under, bus
The ducks are under the bus.</t>
  </si>
  <si>
    <t>- Student learn some words start with /u/ sound in "Say it with Monty".
- With the story, make 3 question so students answer them after the story.
- With videos, students can know what they see in London.</t>
  </si>
  <si>
    <t>LESSON 55</t>
  </si>
  <si>
    <t>76-77</t>
  </si>
  <si>
    <t>''- Marie's sports: Things for sports
- Trevor value: Work in teams
- (45 minutes) Unit 10 Speaking video: Unit 10_Speaking Project_At the funfair (Transport).pptx</t>
  </si>
  <si>
    <t>- They've got....
- They're.....</t>
  </si>
  <si>
    <t>- Students know things for each sports
- Students understand the value</t>
  </si>
  <si>
    <t>LESSON 56</t>
  </si>
  <si>
    <t>Review Unit 10 (vocabulary and structures)
- Transports
- Verb-ing</t>
  </si>
  <si>
    <t>LESSON 57</t>
  </si>
  <si>
    <t>UNIT 11
OUR HOUSE</t>
  </si>
  <si>
    <t>Rooms: bedroom, bathroom, living room, dining room, kitchen, hall</t>
  </si>
  <si>
    <t>- What room is it?
It's a.....</t>
  </si>
  <si>
    <r>
      <rPr>
        <rFont val="Calibri"/>
        <b/>
        <sz val="12.0"/>
      </rPr>
      <t>Video filming: 
Students take turns to do the Role-play: (Divide the students into pairs) 
Topic:</t>
    </r>
    <r>
      <rPr>
        <rFont val="Calibri"/>
        <sz val="12.0"/>
      </rPr>
      <t xml:space="preserve"> Where is the restroom?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https://www.youtube.com/watch?v=r_CgoRykri8&amp;list=PLii5rkhsE0Ld3xCgxG6j5fw7RlG2S5czO&amp;index=44</t>
    </r>
    <r>
      <rPr>
        <rFont val="Calibri"/>
        <sz val="12.0"/>
      </rPr>
      <t xml:space="preserve"> 
(Teacher prepares the Questions list (if needed) )"
</t>
    </r>
  </si>
  <si>
    <t>LESSON 58</t>
  </si>
  <si>
    <t>- Review rooms</t>
  </si>
  <si>
    <t>- Where is the computer?
It's in the kitchen.
- He/She is in the ....</t>
  </si>
  <si>
    <t>LESSON 59</t>
  </si>
  <si>
    <t>80-81</t>
  </si>
  <si>
    <t>- Verb-ing: Drawing, playing, reading, painting, listening
- Sing a song</t>
  </si>
  <si>
    <t>- Present continuous
He/She is Verb-ing.</t>
  </si>
  <si>
    <t>- Students remember the verb
- Students can use grammar correctly</t>
  </si>
  <si>
    <t>LESSON 60</t>
  </si>
  <si>
    <t>82-83</t>
  </si>
  <si>
    <r>
      <rPr>
        <rFont val="Calibri"/>
        <color theme="1"/>
        <sz val="12.0"/>
      </rPr>
      <t>''- Pronunciation: /h/
- The stor</t>
    </r>
    <r>
      <rPr>
        <rFont val="Calibri"/>
        <b/>
        <color theme="1"/>
        <sz val="12.0"/>
      </rPr>
      <t>y
-(45 minutes) Unit 11 Speaking video</t>
    </r>
    <r>
      <rPr>
        <rFont val="Calibri"/>
        <color theme="1"/>
        <sz val="12.0"/>
      </rPr>
      <t>: Unit 11_Speaking Project_Our house .pptx</t>
    </r>
  </si>
  <si>
    <t>/h/- horse, hippo
A horse and a hippo in a helicopter.</t>
  </si>
  <si>
    <t>LESSON 61</t>
  </si>
  <si>
    <t>Review Unit 11 (vocabulary and structures)
- Rooms</t>
  </si>
  <si>
    <t>LESSON 62</t>
  </si>
  <si>
    <t>UNIT 12
PARTY TIME!</t>
  </si>
  <si>
    <t>84-85</t>
  </si>
  <si>
    <t>- Food: apple, ice cream, banana, cake, burger, chocolate</t>
  </si>
  <si>
    <t>- What's this?
It's a/an......</t>
  </si>
  <si>
    <r>
      <rPr>
        <rFont val="Calibri"/>
        <b/>
        <sz val="12.0"/>
      </rPr>
      <t>Video filming: 
Students take turns to do the Role-play: (Divide the students into pairs) 
Topic:</t>
    </r>
    <r>
      <rPr>
        <rFont val="Calibri"/>
        <sz val="12.0"/>
      </rPr>
      <t xml:space="preserve"> I'm making cookies 
Sample video: </t>
    </r>
    <r>
      <rPr>
        <rFont val="Calibri"/>
        <color rgb="FF1155CC"/>
        <sz val="12.0"/>
        <u/>
      </rPr>
      <t>https://www.youtube.com/watch?v=jj1kcfnOaN4&amp;list=PLii5rkhsE0Ld3xCgxG6j5fw7RlG2S5czO&amp;index=40</t>
    </r>
    <r>
      <rPr>
        <rFont val="Calibri"/>
        <sz val="12.0"/>
      </rPr>
      <t xml:space="preserve"> 
(Teacher prepares the Questions list (if needed) )"
</t>
    </r>
  </si>
  <si>
    <t>LESSON 63</t>
  </si>
  <si>
    <t>86-87</t>
  </si>
  <si>
    <t>- Review food</t>
  </si>
  <si>
    <t>- I like/ don't like...
- Do you like...?
+ Yes, I do./ No, I don't.</t>
  </si>
  <si>
    <t>Students can use grammar correctly</t>
  </si>
  <si>
    <t>LESSON 64</t>
  </si>
  <si>
    <t>88-89</t>
  </si>
  <si>
    <t>- Pronunciation: /ie/
- The story
- Video: In the kitchen</t>
  </si>
  <si>
    <t>- Student learn some words start with /u/ sound in "Say it with Monty".
- With the story, make 3 question so students answer them after the story.
- With videos, students know how to make a chocolate cake.</t>
  </si>
  <si>
    <t>LESSON 65</t>
  </si>
  <si>
    <t>90-91</t>
  </si>
  <si>
    <r>
      <rPr>
        <rFont val="Calibri"/>
        <color theme="1"/>
        <sz val="12.0"/>
      </rPr>
      <t>'- Marie's art: Fruit in paintings
- Painting, grapes, lemon, pear, watermelon
- Trevor value: Keep clean</t>
    </r>
    <r>
      <rPr>
        <rFont val="Calibri"/>
        <b/>
        <color theme="1"/>
        <sz val="12.0"/>
      </rPr>
      <t xml:space="preserve">
- (45 minutes) Unit 12 Speaking video:</t>
    </r>
    <r>
      <rPr>
        <rFont val="Calibri"/>
        <color theme="1"/>
        <sz val="12.0"/>
      </rPr>
      <t xml:space="preserve"> Unit 12_Speaking Project_Party time!.pptx</t>
    </r>
  </si>
  <si>
    <t>- Students know pictures made by fruit
- Students understand the value</t>
  </si>
  <si>
    <t>LESSON 66</t>
  </si>
  <si>
    <t>Review Unit 12 (vocabulary and structures)
- Food</t>
  </si>
  <si>
    <t>LESSON 67</t>
  </si>
  <si>
    <t>Review all vocabularies of Unit 7 and 8</t>
  </si>
  <si>
    <t>- Elephants are big and clean.
- Hippos are big and dirty.
- He/She has got....</t>
  </si>
  <si>
    <t>- Students review the lesson contents of Unit 7 &amp; 8</t>
  </si>
  <si>
    <t>Unit 7-8
Game 1 &amp; 2</t>
  </si>
  <si>
    <t>LESSON 68</t>
  </si>
  <si>
    <t>48-61</t>
  </si>
  <si>
    <t>Review all vocabularies of Unit 9 and 10</t>
  </si>
  <si>
    <t>- What can he/she do?
He/She can....
- He/She can't....
- Can you sing?
Yes, I can./ No, I can't.
- What are you doing?
I'm .....</t>
  </si>
  <si>
    <t>- Students review the lesson contents from unit 9 &amp; 10</t>
  </si>
  <si>
    <t>Unit 9-10
Game 1 &amp; 2</t>
  </si>
  <si>
    <t>LESSON 69</t>
  </si>
  <si>
    <t>64-77</t>
  </si>
  <si>
    <t>Review all vocabularies from Unit 11 and 12</t>
  </si>
  <si>
    <t>- Where is the computer?
It's in the kitchen.
- He/She is in the ....
- I like/ don't like...
- Do you like...?
+ Yes, I do./ No, I don't.</t>
  </si>
  <si>
    <t>- Students review the lesson contents from unit 11 &amp; 12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</si>
  <si>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</si>
  <si>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</si>
  <si>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</si>
  <si>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</si>
  <si>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Sun Final class pack</t>
  </si>
  <si>
    <t>LESSON 71</t>
  </si>
  <si>
    <t>END OF TERM SPEAKING TEST
(Speaking test for students whose didn't finish the test in lesson 70)</t>
  </si>
  <si>
    <t>LESSON 72</t>
  </si>
  <si>
    <t>GRADUATION</t>
  </si>
  <si>
    <t xml:space="preserve"> GRADUATION 
Graduation_Moon + Sun (1).pptx</t>
  </si>
  <si>
    <t>Tổng quan chương trình (Sun,Moon,Galax)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</si>
</sst>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5">
    <font>
      <sz val="11.0"/>
      <color theme="1"/>
      <name val="Calibri"/>
      <scheme val="minor"/>
    </font>
    <font>
      <b/>
      <sz val="28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b/>
      <sz val="13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24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b/>
      <sz val="12.0"/>
      <color rgb="FFA61C00"/>
      <name val="Calibri"/>
    </font>
    <font>
      <b/>
      <sz val="13.0"/>
      <color rgb="FFCC0000"/>
      <name val="Calibri"/>
    </font>
    <font>
      <u/>
      <sz val="12.0"/>
      <color rgb="FF000000"/>
      <name val="Calibri"/>
    </font>
    <font>
      <b/>
      <sz val="14.0"/>
      <color theme="1"/>
      <name val="Calibri"/>
    </font>
    <font>
      <u/>
      <sz val="12.0"/>
      <color rgb="FF1155CC"/>
      <name val="Calibri"/>
    </font>
    <font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b/>
      <sz val="12.0"/>
      <color rgb="FFFF0000"/>
      <name val="Calibri"/>
    </font>
    <font>
      <b/>
      <u/>
      <sz val="14.0"/>
      <color rgb="FFFF0000"/>
      <name val="Calibri"/>
    </font>
    <font>
      <b/>
      <sz val="14.0"/>
      <color rgb="FFFF0000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theme="1"/>
      <name val="Calibri"/>
    </font>
    <font>
      <b/>
      <u/>
      <sz val="14.0"/>
      <color theme="1"/>
      <name val="Calibri"/>
    </font>
    <font>
      <u/>
      <sz val="13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0CECE"/>
        <bgColor rgb="FFD0CECE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0" fillId="0" fontId="4" numFmtId="0" xfId="0" applyFont="1"/>
    <xf borderId="1" fillId="3" fontId="5" numFmtId="0" xfId="0" applyAlignment="1" applyBorder="1" applyFont="1">
      <alignment horizontal="center" vertical="center"/>
    </xf>
    <xf borderId="5" fillId="0" fontId="2" numFmtId="0" xfId="0" applyBorder="1" applyFont="1"/>
    <xf borderId="4" fillId="3" fontId="3" numFmtId="0" xfId="0" applyAlignment="1" applyBorder="1" applyFont="1">
      <alignment horizontal="center" readingOrder="0" vertical="center"/>
    </xf>
    <xf borderId="0" fillId="4" fontId="6" numFmtId="0" xfId="0" applyAlignment="1" applyFill="1" applyFont="1">
      <alignment horizontal="left" readingOrder="0" shrinkToFit="0" vertical="center" wrapText="1"/>
    </xf>
    <xf borderId="1" fillId="3" fontId="3" numFmtId="0" xfId="0" applyAlignment="1" applyBorder="1" applyFont="1">
      <alignment horizontal="center" vertical="center"/>
    </xf>
    <xf borderId="0" fillId="4" fontId="6" numFmtId="0" xfId="0" applyAlignment="1" applyFont="1">
      <alignment horizontal="center" readingOrder="0" shrinkToFit="0" vertical="center" wrapText="1"/>
    </xf>
    <xf borderId="6" fillId="0" fontId="2" numFmtId="0" xfId="0" applyBorder="1" applyFont="1"/>
    <xf borderId="0" fillId="0" fontId="7" numFmtId="0" xfId="0" applyAlignment="1" applyFont="1">
      <alignment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0"/>
    </xf>
    <xf borderId="9" fillId="6" fontId="9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0" fillId="0" fontId="10" numFmtId="0" xfId="0" applyAlignment="1" applyFont="1">
      <alignment readingOrder="0"/>
    </xf>
    <xf borderId="11" fillId="5" fontId="4" numFmtId="164" xfId="0" applyBorder="1" applyFont="1" applyNumberFormat="1"/>
    <xf borderId="8" fillId="5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8" fillId="5" fontId="12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center" vertical="center"/>
    </xf>
    <xf borderId="8" fillId="5" fontId="11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8" fillId="5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2" fillId="5" fontId="15" numFmtId="0" xfId="0" applyAlignment="1" applyBorder="1" applyFont="1">
      <alignment readingOrder="0" shrinkToFit="0" vertical="center" wrapText="1"/>
    </xf>
    <xf borderId="8" fillId="5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8" fillId="5" fontId="1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quotePrefix="1" borderId="8" fillId="5" fontId="11" numFmtId="16" xfId="0" applyAlignment="1" applyBorder="1" applyFont="1" applyNumberFormat="1">
      <alignment horizontal="center" vertical="center"/>
    </xf>
    <xf quotePrefix="1" borderId="8" fillId="5" fontId="11" numFmtId="0" xfId="0" applyAlignment="1" applyBorder="1" applyFont="1">
      <alignment readingOrder="0" shrinkToFit="0" vertical="center" wrapText="1"/>
    </xf>
    <xf borderId="11" fillId="0" fontId="2" numFmtId="0" xfId="0" applyBorder="1" applyFont="1"/>
    <xf quotePrefix="1" borderId="8" fillId="5" fontId="11" numFmtId="0" xfId="0" applyAlignment="1" applyBorder="1" applyFont="1">
      <alignment shrinkToFit="0" vertical="center" wrapText="1"/>
    </xf>
    <xf borderId="8" fillId="5" fontId="11" numFmtId="0" xfId="0" applyAlignment="1" applyBorder="1" applyFont="1">
      <alignment shrinkToFit="0" vertical="center" wrapText="1"/>
    </xf>
    <xf borderId="8" fillId="5" fontId="16" numFmtId="0" xfId="0" applyAlignment="1" applyBorder="1" applyFont="1">
      <alignment horizontal="center" shrinkToFit="0" vertical="center" wrapText="1"/>
    </xf>
    <xf quotePrefix="1" borderId="8" fillId="5" fontId="3" numFmtId="0" xfId="0" applyAlignment="1" applyBorder="1" applyFont="1">
      <alignment horizontal="center" vertical="center"/>
    </xf>
    <xf borderId="8" fillId="5" fontId="3" numFmtId="0" xfId="0" applyAlignment="1" applyBorder="1" applyFont="1">
      <alignment readingOrder="0" shrinkToFit="0" vertical="center" wrapText="1"/>
    </xf>
    <xf borderId="8" fillId="5" fontId="3" numFmtId="0" xfId="0" applyAlignment="1" applyBorder="1" applyFont="1">
      <alignment shrinkToFit="0" vertical="center" wrapText="1"/>
    </xf>
    <xf quotePrefix="1" borderId="8" fillId="5" fontId="3" numFmtId="0" xfId="0" applyAlignment="1" applyBorder="1" applyFont="1">
      <alignment shrinkToFit="0" vertical="center" wrapText="1"/>
    </xf>
    <xf borderId="8" fillId="5" fontId="3" numFmtId="0" xfId="0" applyAlignment="1" applyBorder="1" applyFont="1">
      <alignment horizontal="center" vertical="center"/>
    </xf>
    <xf quotePrefix="1" borderId="8" fillId="5" fontId="3" numFmtId="0" xfId="0" applyAlignment="1" applyBorder="1" applyFont="1">
      <alignment horizontal="center" shrinkToFit="0" vertical="center" wrapText="1"/>
    </xf>
    <xf borderId="8" fillId="7" fontId="3" numFmtId="0" xfId="0" applyAlignment="1" applyBorder="1" applyFill="1" applyFont="1">
      <alignment horizontal="center" readingOrder="0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quotePrefix="1" borderId="8" fillId="5" fontId="11" numFmtId="0" xfId="0" applyAlignment="1" applyBorder="1" applyFont="1">
      <alignment horizontal="center" shrinkToFit="0" vertical="center" wrapText="1"/>
    </xf>
    <xf borderId="0" fillId="8" fontId="18" numFmtId="0" xfId="0" applyAlignment="1" applyFill="1" applyFont="1">
      <alignment vertical="center"/>
    </xf>
    <xf borderId="0" fillId="8" fontId="18" numFmtId="0" xfId="0" applyFont="1"/>
    <xf quotePrefix="1" borderId="8" fillId="5" fontId="11" numFmtId="17" xfId="0" applyAlignment="1" applyBorder="1" applyFont="1" applyNumberFormat="1">
      <alignment horizontal="center" vertical="center"/>
    </xf>
    <xf borderId="12" fillId="5" fontId="19" numFmtId="0" xfId="0" applyAlignment="1" applyBorder="1" applyFont="1">
      <alignment readingOrder="0" shrinkToFit="0" vertical="center" wrapText="1"/>
    </xf>
    <xf borderId="8" fillId="5" fontId="4" numFmtId="164" xfId="0" applyBorder="1" applyFont="1" applyNumberFormat="1"/>
    <xf borderId="0" fillId="0" fontId="18" numFmtId="0" xfId="0" applyAlignment="1" applyFont="1">
      <alignment vertical="center"/>
    </xf>
    <xf borderId="8" fillId="5" fontId="11" numFmtId="0" xfId="0" applyAlignment="1" applyBorder="1" applyFont="1">
      <alignment readingOrder="0" shrinkToFit="0" vertical="center" wrapText="1"/>
    </xf>
    <xf borderId="8" fillId="5" fontId="11" numFmtId="0" xfId="0" applyAlignment="1" applyBorder="1" applyFont="1">
      <alignment horizontal="center" readingOrder="0" vertical="center"/>
    </xf>
    <xf quotePrefix="1" borderId="8" fillId="5" fontId="11" numFmtId="0" xfId="0" applyAlignment="1" applyBorder="1" applyFont="1">
      <alignment horizontal="center" vertical="center"/>
    </xf>
    <xf quotePrefix="1" borderId="8" fillId="5" fontId="11" numFmtId="0" xfId="0" applyAlignment="1" applyBorder="1" applyFont="1">
      <alignment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8" fillId="5" fontId="20" numFmtId="0" xfId="0" applyAlignment="1" applyBorder="1" applyFont="1">
      <alignment shrinkToFit="0" vertical="center" wrapText="1"/>
    </xf>
    <xf borderId="0" fillId="5" fontId="18" numFmtId="0" xfId="0" applyAlignment="1" applyFont="1">
      <alignment vertical="center"/>
    </xf>
    <xf borderId="0" fillId="5" fontId="18" numFmtId="0" xfId="0" applyFont="1"/>
    <xf borderId="8" fillId="5" fontId="21" numFmtId="0" xfId="0" applyAlignment="1" applyBorder="1" applyFont="1">
      <alignment readingOrder="0" shrinkToFit="0" vertical="center" wrapText="1"/>
    </xf>
    <xf borderId="8" fillId="5" fontId="4" numFmtId="0" xfId="0" applyAlignment="1" applyBorder="1" applyFont="1">
      <alignment vertical="center"/>
    </xf>
    <xf borderId="8" fillId="5" fontId="22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shrinkToFit="0" vertical="center" wrapText="1"/>
    </xf>
    <xf quotePrefix="1" borderId="12" fillId="5" fontId="11" numFmtId="0" xfId="0" applyAlignment="1" applyBorder="1" applyFont="1">
      <alignment shrinkToFit="0" vertical="center" wrapText="1"/>
    </xf>
    <xf borderId="12" fillId="5" fontId="23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vertical="center"/>
    </xf>
    <xf borderId="4" fillId="5" fontId="3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vertical="center"/>
    </xf>
    <xf borderId="8" fillId="8" fontId="24" numFmtId="0" xfId="0" applyAlignment="1" applyBorder="1" applyFont="1">
      <alignment horizontal="center" shrinkToFit="0" vertical="center" wrapText="1"/>
    </xf>
    <xf borderId="13" fillId="0" fontId="25" numFmtId="0" xfId="0" applyAlignment="1" applyBorder="1" applyFont="1">
      <alignment horizontal="center" shrinkToFit="0" wrapText="1"/>
    </xf>
    <xf borderId="14" fillId="0" fontId="2" numFmtId="0" xfId="0" applyBorder="1" applyFont="1"/>
    <xf borderId="15" fillId="0" fontId="2" numFmtId="0" xfId="0" applyBorder="1" applyFont="1"/>
    <xf borderId="5" fillId="0" fontId="26" numFmtId="0" xfId="0" applyAlignment="1" applyBorder="1" applyFont="1">
      <alignment horizontal="center" shrinkToFit="0" wrapText="1"/>
    </xf>
    <xf borderId="16" fillId="2" fontId="9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1" fillId="5" fontId="11" numFmtId="0" xfId="0" applyAlignment="1" applyBorder="1" applyFont="1">
      <alignment horizontal="center" vertical="center"/>
    </xf>
    <xf borderId="11" fillId="5" fontId="12" numFmtId="0" xfId="0" applyAlignment="1" applyBorder="1" applyFont="1">
      <alignment horizontal="center" shrinkToFit="0" vertical="center" wrapText="1"/>
    </xf>
    <xf borderId="8" fillId="5" fontId="11" numFmtId="0" xfId="0" applyAlignment="1" applyBorder="1" applyFont="1">
      <alignment shrinkToFit="0" wrapText="1"/>
    </xf>
    <xf quotePrefix="1" borderId="8" fillId="5" fontId="11" numFmtId="0" xfId="0" applyAlignment="1" applyBorder="1" applyFont="1">
      <alignment shrinkToFit="0" wrapText="1"/>
    </xf>
    <xf borderId="8" fillId="5" fontId="11" numFmtId="0" xfId="0" applyAlignment="1" applyBorder="1" applyFont="1">
      <alignment horizontal="center"/>
    </xf>
    <xf borderId="8" fillId="5" fontId="11" numFmtId="0" xfId="0" applyAlignment="1" applyBorder="1" applyFont="1">
      <alignment horizontal="center" shrinkToFit="0" wrapText="1"/>
    </xf>
    <xf borderId="7" fillId="0" fontId="11" numFmtId="164" xfId="0" applyAlignment="1" applyBorder="1" applyFont="1" applyNumberFormat="1">
      <alignment horizontal="center"/>
    </xf>
    <xf borderId="8" fillId="5" fontId="27" numFmtId="0" xfId="0" applyAlignment="1" applyBorder="1" applyFont="1">
      <alignment shrinkToFit="0" vertical="center" wrapText="1"/>
    </xf>
    <xf quotePrefix="1" borderId="8" fillId="5" fontId="11" numFmtId="0" xfId="0" applyAlignment="1" applyBorder="1" applyFont="1">
      <alignment horizontal="center" shrinkToFit="0" wrapText="1"/>
    </xf>
    <xf borderId="8" fillId="8" fontId="3" numFmtId="0" xfId="0" applyAlignment="1" applyBorder="1" applyFont="1">
      <alignment horizontal="center" shrinkToFit="0" vertical="center" wrapText="1"/>
    </xf>
    <xf borderId="8" fillId="5" fontId="28" numFmtId="0" xfId="0" applyAlignment="1" applyBorder="1" applyFont="1">
      <alignment horizontal="center" shrinkToFit="0" wrapText="1"/>
    </xf>
    <xf borderId="12" fillId="5" fontId="29" numFmtId="0" xfId="0" applyAlignment="1" applyBorder="1" applyFont="1">
      <alignment readingOrder="0" shrinkToFit="0" vertical="center" wrapText="1"/>
    </xf>
    <xf quotePrefix="1" borderId="8" fillId="5" fontId="30" numFmtId="0" xfId="0" applyAlignment="1" applyBorder="1" applyFont="1">
      <alignment shrinkToFit="0" wrapText="1"/>
    </xf>
    <xf quotePrefix="1" borderId="8" fillId="5" fontId="11" numFmtId="164" xfId="0" applyBorder="1" applyFont="1" applyNumberFormat="1"/>
    <xf borderId="7" fillId="0" fontId="11" numFmtId="164" xfId="0" applyAlignment="1" applyBorder="1" applyFont="1" applyNumberFormat="1">
      <alignment horizontal="center" readingOrder="0"/>
    </xf>
    <xf quotePrefix="1" borderId="8" fillId="5" fontId="31" numFmtId="0" xfId="0" applyAlignment="1" applyBorder="1" applyFont="1">
      <alignment shrinkToFit="0" vertical="center" wrapText="1"/>
    </xf>
    <xf quotePrefix="1" borderId="8" fillId="5" fontId="11" numFmtId="0" xfId="0" applyAlignment="1" applyBorder="1" applyFont="1">
      <alignment readingOrder="0" shrinkToFit="0" vertical="center" wrapText="1"/>
    </xf>
    <xf borderId="15" fillId="5" fontId="12" numFmtId="0" xfId="0" applyAlignment="1" applyBorder="1" applyFont="1">
      <alignment horizontal="center" shrinkToFit="0" vertical="center" wrapText="1"/>
    </xf>
    <xf borderId="19" fillId="8" fontId="3" numFmtId="0" xfId="0" applyAlignment="1" applyBorder="1" applyFont="1">
      <alignment horizontal="center" vertical="center"/>
    </xf>
    <xf borderId="4" fillId="5" fontId="32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20" fillId="5" fontId="12" numFmtId="0" xfId="0" applyAlignment="1" applyBorder="1" applyFont="1">
      <alignment horizontal="center" shrinkToFit="0" vertical="center" wrapText="1"/>
    </xf>
    <xf borderId="21" fillId="5" fontId="4" numFmtId="0" xfId="0" applyAlignment="1" applyBorder="1" applyFont="1">
      <alignment vertical="center"/>
    </xf>
    <xf borderId="1" fillId="0" fontId="33" numFmtId="0" xfId="0" applyAlignment="1" applyBorder="1" applyFont="1">
      <alignment horizontal="center" readingOrder="0" shrinkToFit="0" vertical="center" wrapText="1"/>
    </xf>
    <xf borderId="7" fillId="0" fontId="34" numFmtId="0" xfId="0" applyAlignment="1" applyBorder="1" applyFont="1">
      <alignment horizontal="center" shrinkToFit="0" vertical="center" wrapText="1"/>
    </xf>
    <xf borderId="0" fillId="0" fontId="18" numFmtId="164" xfId="0" applyFont="1" applyNumberForma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Bảng_1" name="Bảng_1" id="1">
  <tableColumns count="2">
    <tableColumn name="Grade" id="1"/>
    <tableColumn name="SUN 1" id="2"/>
  </tableColumns>
  <tableStyleInfo name="Trang tính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VaS5h6WuXYvSFJ5fdQF9cV6na34zT7H4/edit?slide=id.p15" TargetMode="External"/><Relationship Id="rId22" Type="http://schemas.openxmlformats.org/officeDocument/2006/relationships/hyperlink" Target="https://docs.google.com/presentation/d/1zD0eherV_TdnIIJ0vj4cLD1pyt2EsJqk/edit?slide=id.p1" TargetMode="External"/><Relationship Id="rId21" Type="http://schemas.openxmlformats.org/officeDocument/2006/relationships/hyperlink" Target="https://www.youtube.com/watch?v=JZrEqSnJ59s&amp;list=PLii5rkhsE0Ld3xCgxG6j5fw7RlG2S5czO&amp;index=79" TargetMode="External"/><Relationship Id="rId24" Type="http://schemas.openxmlformats.org/officeDocument/2006/relationships/hyperlink" Target="https://docs.google.com/presentation/d/1rZEGwn7rT0E-Bap7JEiIfE4TTkc8_Fx5/edit?slide=id.p1" TargetMode="External"/><Relationship Id="rId23" Type="http://schemas.openxmlformats.org/officeDocument/2006/relationships/hyperlink" Target="https://www.youtube.com/watch?v=nsqfrAF7OLI&amp;list=PLii5rkhsE0Ld3xCgxG6j5fw7RlG2S5czO&amp;index=7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U8EVo5-4eJs" TargetMode="External"/><Relationship Id="rId3" Type="http://schemas.openxmlformats.org/officeDocument/2006/relationships/hyperlink" Target="https://docs.google.com/presentation/d/1fLwQZjZ5v7GbPWPxhyGgWQRWdAzDb_9x/edit?slide=id.p1" TargetMode="External"/><Relationship Id="rId4" Type="http://schemas.openxmlformats.org/officeDocument/2006/relationships/hyperlink" Target="https://www.youtube.com/watch?v=rmu9rEf2jRo" TargetMode="External"/><Relationship Id="rId9" Type="http://schemas.openxmlformats.org/officeDocument/2006/relationships/hyperlink" Target="https://youtu.be/s9RuBAvENhI?si=Pcbcih78PUSKIv2X&amp;t=127" TargetMode="External"/><Relationship Id="rId26" Type="http://schemas.openxmlformats.org/officeDocument/2006/relationships/hyperlink" Target="https://docs.google.com/presentation/d/1-FDBokfECXwrqdBzS-5rjzpolWwQ86vk/edit?slide=id.p12" TargetMode="External"/><Relationship Id="rId25" Type="http://schemas.openxmlformats.org/officeDocument/2006/relationships/hyperlink" Target="https://www.youtube.com/watch?v=r_CgoRykri8&amp;list=PLii5rkhsE0Ld3xCgxG6j5fw7RlG2S5czO&amp;index=44" TargetMode="External"/><Relationship Id="rId28" Type="http://schemas.openxmlformats.org/officeDocument/2006/relationships/hyperlink" Target="https://docs.google.com/presentation/d/16ezegkKZF1TJGD0jjPz83fssvmUGTLqB/edit?slide=id.p8" TargetMode="External"/><Relationship Id="rId27" Type="http://schemas.openxmlformats.org/officeDocument/2006/relationships/hyperlink" Target="https://www.youtube.com/watch?v=jj1kcfnOaN4&amp;list=PLii5rkhsE0Ld3xCgxG6j5fw7RlG2S5czO&amp;index=40" TargetMode="External"/><Relationship Id="rId5" Type="http://schemas.openxmlformats.org/officeDocument/2006/relationships/hyperlink" Target="https://docs.google.com/presentation/d/1BXBpEKJU5QbKx-Sb_tB1Dcr__uVQ0JIz/edit?slide=id.p1" TargetMode="External"/><Relationship Id="rId6" Type="http://schemas.openxmlformats.org/officeDocument/2006/relationships/hyperlink" Target="https://www.youtube.com/watch?v=3L-yv3YoQFQ" TargetMode="External"/><Relationship Id="rId29" Type="http://schemas.openxmlformats.org/officeDocument/2006/relationships/hyperlink" Target="https://drive.google.com/drive/folders/1ZADzDR385YFxvkJPbalZi2pgUxS1mVUJ" TargetMode="External"/><Relationship Id="rId7" Type="http://schemas.openxmlformats.org/officeDocument/2006/relationships/hyperlink" Target="https://docs.google.com/presentation/d/1EYsTFtONekK_JNNhCCeOkRowgngBXLJq/edit?slide=id.p1" TargetMode="External"/><Relationship Id="rId8" Type="http://schemas.openxmlformats.org/officeDocument/2006/relationships/hyperlink" Target="https://drive.google.com/file/d/1bs-fiVhWFzWXKMEKGdZrl8Am49c_gdCa/view?usp=drive_link" TargetMode="External"/><Relationship Id="rId31" Type="http://schemas.openxmlformats.org/officeDocument/2006/relationships/hyperlink" Target="https://drive.google.com/drive/u/0/folders/1EfW4D21vZtNu9qWoB7p9aFzr0JxOMJMy" TargetMode="External"/><Relationship Id="rId30" Type="http://schemas.openxmlformats.org/officeDocument/2006/relationships/hyperlink" Target="https://docs.google.com/presentation/d/14A1_Ql1MQyFbddHC84mmiQtAq57hhJl7/edit?slide=id.p10" TargetMode="External"/><Relationship Id="rId11" Type="http://schemas.openxmlformats.org/officeDocument/2006/relationships/hyperlink" Target="https://www.youtube.com/watch?v=dQgo02FCiqk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docs.google.com/presentation/d/1urU7v2f5husIE3x5Bg-JlZSmirzoEebf/edit?slide=id.p1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presentation/d/1qIRlWLGn9-YWGUUKW5BCllrpTf6-4Gmp/edit?slide=id.p4" TargetMode="External"/><Relationship Id="rId12" Type="http://schemas.openxmlformats.org/officeDocument/2006/relationships/hyperlink" Target="https://yahaaa.com/vocabularies/2657-common-adjectives/games" TargetMode="External"/><Relationship Id="rId15" Type="http://schemas.openxmlformats.org/officeDocument/2006/relationships/hyperlink" Target="https://docs.google.com/presentation/d/1G_CVjqpPQgo2iC4lUylLPDQDLP10bH4q/edit?slide=id.p1" TargetMode="External"/><Relationship Id="rId14" Type="http://schemas.openxmlformats.org/officeDocument/2006/relationships/hyperlink" Target="https://drive.google.com/file/d/14f-MaJoQSyEZosWAPVEwl-zB6nrBluAW/view?usp=drive_link" TargetMode="External"/><Relationship Id="rId17" Type="http://schemas.openxmlformats.org/officeDocument/2006/relationships/hyperlink" Target="https://www.youtube.com/watch?v=4xsRmYL_7LI" TargetMode="External"/><Relationship Id="rId16" Type="http://schemas.openxmlformats.org/officeDocument/2006/relationships/hyperlink" Target="https://drive.google.com/drive/folders/1Mo1b4-KJIa9f4jqfqhg1QacmhDwRTfDo" TargetMode="External"/><Relationship Id="rId19" Type="http://schemas.openxmlformats.org/officeDocument/2006/relationships/hyperlink" Target="https://www.youtube.com/watch?v=gtue7EAd_XI&amp;list=PLii5rkhsE0Ld3xCgxG6j5fw7RlG2S5czO&amp;index=90" TargetMode="External"/><Relationship Id="rId18" Type="http://schemas.openxmlformats.org/officeDocument/2006/relationships/hyperlink" Target="https://docs.google.com/presentation/d/1lJ6q758Iime0gs-pzd53iUVS-5WPNkkO/edit?slide=id.p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71"/>
    <col customWidth="1" min="2" max="2" width="12.0"/>
    <col customWidth="1" min="3" max="3" width="19.57"/>
    <col customWidth="1" min="4" max="4" width="19.0"/>
    <col customWidth="1" min="5" max="5" width="46.71"/>
    <col customWidth="1" min="6" max="6" width="48.86"/>
    <col customWidth="1" min="7" max="8" width="47.86"/>
    <col customWidth="1" min="9" max="9" width="13.71"/>
    <col customWidth="1" min="10" max="10" width="17.14"/>
    <col customWidth="1" min="11" max="25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4" t="s">
        <v>1</v>
      </c>
      <c r="B2" s="4" t="s">
        <v>2</v>
      </c>
      <c r="C2" s="5" t="s">
        <v>3</v>
      </c>
      <c r="D2" s="4" t="s">
        <v>4</v>
      </c>
      <c r="E2" s="7" t="s">
        <v>5</v>
      </c>
      <c r="F2" s="2"/>
      <c r="G2" s="2"/>
      <c r="H2" s="2"/>
      <c r="I2" s="2"/>
      <c r="J2" s="3"/>
    </row>
    <row r="3">
      <c r="A3" s="8"/>
      <c r="B3" s="8"/>
      <c r="C3" s="8"/>
      <c r="D3" s="8"/>
      <c r="E3" s="5" t="s">
        <v>7</v>
      </c>
      <c r="F3" s="9" t="s">
        <v>8</v>
      </c>
      <c r="G3" s="5" t="s">
        <v>9</v>
      </c>
      <c r="H3" s="9" t="s">
        <v>10</v>
      </c>
      <c r="I3" s="11" t="s">
        <v>11</v>
      </c>
      <c r="J3" s="3"/>
    </row>
    <row r="4" ht="50.25" customHeight="1">
      <c r="A4" s="13"/>
      <c r="B4" s="13"/>
      <c r="C4" s="13"/>
      <c r="D4" s="13"/>
      <c r="E4" s="13"/>
      <c r="F4" s="13"/>
      <c r="G4" s="13"/>
      <c r="H4" s="13"/>
      <c r="I4" s="15" t="s">
        <v>13</v>
      </c>
      <c r="J4" s="15" t="s">
        <v>15</v>
      </c>
    </row>
    <row r="5" ht="37.5" customHeight="1">
      <c r="A5" s="17" t="s">
        <v>16</v>
      </c>
      <c r="J5" s="18"/>
    </row>
    <row r="6" ht="137.25" customHeight="1">
      <c r="A6" s="20"/>
      <c r="B6" s="21" t="s">
        <v>18</v>
      </c>
      <c r="C6" s="23" t="s">
        <v>19</v>
      </c>
      <c r="D6" s="24">
        <v>4.0</v>
      </c>
      <c r="E6" s="25" t="s">
        <v>21</v>
      </c>
      <c r="F6" s="27" t="s">
        <v>23</v>
      </c>
      <c r="G6" s="27" t="s">
        <v>24</v>
      </c>
      <c r="H6" s="31" t="s">
        <v>26</v>
      </c>
      <c r="I6" s="32">
        <v>1.0</v>
      </c>
      <c r="J6" s="34" t="s">
        <v>30</v>
      </c>
      <c r="K6" s="35"/>
    </row>
    <row r="7" ht="110.25" customHeight="1">
      <c r="A7" s="20"/>
      <c r="B7" s="21" t="s">
        <v>31</v>
      </c>
      <c r="C7" s="23" t="s">
        <v>19</v>
      </c>
      <c r="D7" s="36" t="s">
        <v>32</v>
      </c>
      <c r="E7" s="37" t="s">
        <v>33</v>
      </c>
      <c r="F7" s="25" t="s">
        <v>34</v>
      </c>
      <c r="G7" s="25" t="s">
        <v>35</v>
      </c>
      <c r="H7" s="38"/>
      <c r="I7" s="32">
        <v>2.0</v>
      </c>
      <c r="J7" s="34" t="s">
        <v>36</v>
      </c>
      <c r="K7" s="35"/>
    </row>
    <row r="8" ht="88.5" customHeight="1">
      <c r="A8" s="20"/>
      <c r="B8" s="21" t="s">
        <v>37</v>
      </c>
      <c r="C8" s="23" t="s">
        <v>19</v>
      </c>
      <c r="D8" s="36" t="s">
        <v>38</v>
      </c>
      <c r="E8" s="39" t="s">
        <v>39</v>
      </c>
      <c r="F8" s="40" t="s">
        <v>40</v>
      </c>
      <c r="G8" s="40" t="s">
        <v>41</v>
      </c>
      <c r="H8" s="40"/>
      <c r="I8" s="32">
        <v>3.0</v>
      </c>
      <c r="J8" s="34" t="s">
        <v>42</v>
      </c>
      <c r="K8" s="35"/>
    </row>
    <row r="9" ht="113.25" customHeight="1">
      <c r="A9" s="20"/>
      <c r="B9" s="21" t="s">
        <v>43</v>
      </c>
      <c r="C9" s="41" t="s">
        <v>44</v>
      </c>
      <c r="D9" s="42" t="s">
        <v>45</v>
      </c>
      <c r="E9" s="43" t="s">
        <v>46</v>
      </c>
      <c r="F9" s="44" t="s">
        <v>47</v>
      </c>
      <c r="G9" s="45" t="s">
        <v>48</v>
      </c>
      <c r="H9" s="44"/>
      <c r="I9" s="46">
        <v>4.0</v>
      </c>
      <c r="J9" s="47" t="s">
        <v>49</v>
      </c>
      <c r="K9" s="35"/>
    </row>
    <row r="10" ht="87.75" customHeight="1">
      <c r="A10" s="20"/>
      <c r="B10" s="21" t="s">
        <v>50</v>
      </c>
      <c r="C10" s="23" t="s">
        <v>19</v>
      </c>
      <c r="D10" s="48" t="s">
        <v>51</v>
      </c>
      <c r="E10" s="37" t="s">
        <v>52</v>
      </c>
      <c r="F10" s="40" t="s">
        <v>53</v>
      </c>
      <c r="G10" s="39" t="s">
        <v>54</v>
      </c>
      <c r="H10" s="40"/>
      <c r="I10" s="49"/>
      <c r="J10" s="50" t="s">
        <v>55</v>
      </c>
      <c r="K10" s="51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ht="90.75" customHeight="1">
      <c r="A11" s="20"/>
      <c r="B11" s="21" t="s">
        <v>56</v>
      </c>
      <c r="C11" s="23" t="s">
        <v>57</v>
      </c>
      <c r="D11" s="53" t="s">
        <v>58</v>
      </c>
      <c r="E11" s="37" t="s">
        <v>59</v>
      </c>
      <c r="F11" s="25" t="s">
        <v>60</v>
      </c>
      <c r="G11" s="40" t="s">
        <v>61</v>
      </c>
      <c r="H11" s="54" t="s">
        <v>62</v>
      </c>
      <c r="I11" s="32">
        <v>5.0</v>
      </c>
      <c r="J11" s="34" t="s">
        <v>30</v>
      </c>
      <c r="K11" s="35"/>
    </row>
    <row r="12" ht="111.0" customHeight="1">
      <c r="A12" s="55"/>
      <c r="B12" s="21" t="s">
        <v>63</v>
      </c>
      <c r="C12" s="23" t="s">
        <v>57</v>
      </c>
      <c r="D12" s="53" t="s">
        <v>64</v>
      </c>
      <c r="E12" s="37" t="s">
        <v>65</v>
      </c>
      <c r="F12" s="25" t="s">
        <v>66</v>
      </c>
      <c r="G12" s="25" t="s">
        <v>67</v>
      </c>
      <c r="H12" s="38"/>
      <c r="I12" s="32">
        <v>6.0</v>
      </c>
      <c r="J12" s="34" t="s">
        <v>42</v>
      </c>
      <c r="K12" s="35"/>
    </row>
    <row r="13" ht="104.25" customHeight="1">
      <c r="A13" s="55"/>
      <c r="B13" s="21" t="s">
        <v>68</v>
      </c>
      <c r="C13" s="23" t="s">
        <v>57</v>
      </c>
      <c r="D13" s="53" t="s">
        <v>69</v>
      </c>
      <c r="E13" s="25" t="s">
        <v>70</v>
      </c>
      <c r="F13" s="40" t="s">
        <v>71</v>
      </c>
      <c r="G13" s="40" t="s">
        <v>72</v>
      </c>
      <c r="H13" s="40"/>
      <c r="I13" s="32">
        <v>7.0</v>
      </c>
      <c r="J13" s="34" t="s">
        <v>36</v>
      </c>
      <c r="K13" s="56"/>
    </row>
    <row r="14" ht="90.0" customHeight="1">
      <c r="A14" s="55"/>
      <c r="B14" s="21" t="s">
        <v>73</v>
      </c>
      <c r="C14" s="23" t="s">
        <v>57</v>
      </c>
      <c r="D14" s="53" t="s">
        <v>74</v>
      </c>
      <c r="E14" s="57" t="s">
        <v>75</v>
      </c>
      <c r="F14" s="40" t="s">
        <v>76</v>
      </c>
      <c r="G14" s="39" t="s">
        <v>77</v>
      </c>
      <c r="H14" s="40"/>
      <c r="I14" s="32">
        <v>8.0</v>
      </c>
      <c r="J14" s="50" t="s">
        <v>49</v>
      </c>
      <c r="K14" s="35"/>
    </row>
    <row r="15" ht="129.75" customHeight="1">
      <c r="A15" s="55"/>
      <c r="B15" s="21" t="s">
        <v>78</v>
      </c>
      <c r="C15" s="23" t="s">
        <v>57</v>
      </c>
      <c r="D15" s="48" t="s">
        <v>79</v>
      </c>
      <c r="E15" s="37" t="s">
        <v>80</v>
      </c>
      <c r="F15" s="25" t="s">
        <v>81</v>
      </c>
      <c r="G15" s="37" t="s">
        <v>82</v>
      </c>
      <c r="H15" s="25"/>
      <c r="I15" s="49"/>
      <c r="J15" s="50" t="s">
        <v>55</v>
      </c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ht="78.0" customHeight="1">
      <c r="A16" s="55"/>
      <c r="B16" s="21" t="s">
        <v>83</v>
      </c>
      <c r="C16" s="23" t="s">
        <v>84</v>
      </c>
      <c r="D16" s="32">
        <v>18.0</v>
      </c>
      <c r="E16" s="39" t="s">
        <v>85</v>
      </c>
      <c r="F16" s="40" t="s">
        <v>86</v>
      </c>
      <c r="G16" s="39" t="s">
        <v>87</v>
      </c>
      <c r="H16" s="54" t="s">
        <v>88</v>
      </c>
      <c r="I16" s="32">
        <v>9.0</v>
      </c>
      <c r="J16" s="34" t="s">
        <v>30</v>
      </c>
      <c r="K16" s="35"/>
    </row>
    <row r="17" ht="48.0" customHeight="1">
      <c r="A17" s="55"/>
      <c r="B17" s="21" t="s">
        <v>89</v>
      </c>
      <c r="C17" s="23" t="s">
        <v>84</v>
      </c>
      <c r="D17" s="32">
        <v>19.0</v>
      </c>
      <c r="E17" s="37" t="s">
        <v>90</v>
      </c>
      <c r="F17" s="40" t="s">
        <v>91</v>
      </c>
      <c r="G17" s="40" t="s">
        <v>92</v>
      </c>
      <c r="H17" s="38"/>
      <c r="I17" s="32">
        <v>10.0</v>
      </c>
      <c r="J17" s="34" t="s">
        <v>93</v>
      </c>
      <c r="K17" s="35"/>
    </row>
    <row r="18" ht="88.5" customHeight="1">
      <c r="A18" s="55"/>
      <c r="B18" s="21" t="s">
        <v>94</v>
      </c>
      <c r="C18" s="23" t="s">
        <v>84</v>
      </c>
      <c r="D18" s="58" t="s">
        <v>95</v>
      </c>
      <c r="E18" s="37" t="s">
        <v>96</v>
      </c>
      <c r="F18" s="39" t="s">
        <v>97</v>
      </c>
      <c r="G18" s="39" t="s">
        <v>98</v>
      </c>
      <c r="H18" s="40"/>
      <c r="I18" s="32">
        <v>11.0</v>
      </c>
      <c r="J18" s="34" t="s">
        <v>99</v>
      </c>
      <c r="K18" s="35"/>
    </row>
    <row r="19" ht="103.5" customHeight="1">
      <c r="A19" s="55"/>
      <c r="B19" s="21" t="s">
        <v>100</v>
      </c>
      <c r="C19" s="23" t="s">
        <v>84</v>
      </c>
      <c r="D19" s="59" t="s">
        <v>101</v>
      </c>
      <c r="E19" s="60" t="s">
        <v>102</v>
      </c>
      <c r="F19" s="40" t="s">
        <v>103</v>
      </c>
      <c r="G19" s="40" t="s">
        <v>104</v>
      </c>
      <c r="H19" s="40"/>
      <c r="I19" s="32">
        <v>12.0</v>
      </c>
      <c r="J19" s="50" t="s">
        <v>49</v>
      </c>
      <c r="K19" s="35"/>
    </row>
    <row r="20" ht="129.75" customHeight="1">
      <c r="A20" s="55"/>
      <c r="B20" s="21" t="s">
        <v>105</v>
      </c>
      <c r="C20" s="23" t="s">
        <v>84</v>
      </c>
      <c r="D20" s="61" t="s">
        <v>106</v>
      </c>
      <c r="E20" s="39" t="s">
        <v>107</v>
      </c>
      <c r="F20" s="40" t="s">
        <v>108</v>
      </c>
      <c r="G20" s="39" t="s">
        <v>54</v>
      </c>
      <c r="H20" s="40"/>
      <c r="I20" s="49"/>
      <c r="J20" s="50" t="s">
        <v>55</v>
      </c>
      <c r="K20" s="51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ht="66.75" customHeight="1">
      <c r="A21" s="55"/>
      <c r="B21" s="21" t="s">
        <v>109</v>
      </c>
      <c r="C21" s="23" t="s">
        <v>110</v>
      </c>
      <c r="D21" s="32" t="s">
        <v>111</v>
      </c>
      <c r="E21" s="39" t="s">
        <v>112</v>
      </c>
      <c r="F21" s="40" t="s">
        <v>113</v>
      </c>
      <c r="G21" s="40" t="s">
        <v>114</v>
      </c>
      <c r="H21" s="54" t="s">
        <v>115</v>
      </c>
      <c r="I21" s="32">
        <v>13.0</v>
      </c>
      <c r="J21" s="34" t="s">
        <v>30</v>
      </c>
      <c r="K21" s="35"/>
    </row>
    <row r="22" ht="76.5" customHeight="1">
      <c r="A22" s="55"/>
      <c r="B22" s="21" t="s">
        <v>116</v>
      </c>
      <c r="C22" s="23" t="s">
        <v>110</v>
      </c>
      <c r="D22" s="32" t="s">
        <v>117</v>
      </c>
      <c r="E22" s="39" t="s">
        <v>118</v>
      </c>
      <c r="F22" s="40" t="s">
        <v>119</v>
      </c>
      <c r="G22" s="39" t="s">
        <v>120</v>
      </c>
      <c r="H22" s="38"/>
      <c r="I22" s="32">
        <v>14.0</v>
      </c>
      <c r="J22" s="34" t="s">
        <v>93</v>
      </c>
      <c r="K22" s="35"/>
    </row>
    <row r="23" ht="105.0" customHeight="1">
      <c r="A23" s="55"/>
      <c r="B23" s="21" t="s">
        <v>121</v>
      </c>
      <c r="C23" s="23" t="s">
        <v>110</v>
      </c>
      <c r="D23" s="34" t="s">
        <v>122</v>
      </c>
      <c r="E23" s="62" t="s">
        <v>123</v>
      </c>
      <c r="F23" s="40" t="s">
        <v>124</v>
      </c>
      <c r="G23" s="39" t="s">
        <v>125</v>
      </c>
      <c r="H23" s="40"/>
      <c r="I23" s="34">
        <v>15.0</v>
      </c>
      <c r="J23" s="34" t="s">
        <v>99</v>
      </c>
      <c r="K23" s="35"/>
    </row>
    <row r="24" ht="64.5" customHeight="1">
      <c r="A24" s="55"/>
      <c r="B24" s="21" t="s">
        <v>126</v>
      </c>
      <c r="C24" s="23" t="s">
        <v>110</v>
      </c>
      <c r="D24" s="32" t="s">
        <v>127</v>
      </c>
      <c r="E24" s="62" t="s">
        <v>128</v>
      </c>
      <c r="F24" s="40" t="s">
        <v>129</v>
      </c>
      <c r="G24" s="40" t="s">
        <v>130</v>
      </c>
      <c r="H24" s="40"/>
      <c r="I24" s="32">
        <v>16.0</v>
      </c>
      <c r="J24" s="50" t="s">
        <v>49</v>
      </c>
      <c r="K24" s="35"/>
    </row>
    <row r="25" ht="85.5" customHeight="1">
      <c r="A25" s="55"/>
      <c r="B25" s="21" t="s">
        <v>131</v>
      </c>
      <c r="C25" s="23" t="s">
        <v>110</v>
      </c>
      <c r="D25" s="61" t="s">
        <v>106</v>
      </c>
      <c r="E25" s="39" t="s">
        <v>132</v>
      </c>
      <c r="F25" s="40" t="s">
        <v>133</v>
      </c>
      <c r="G25" s="39" t="s">
        <v>54</v>
      </c>
      <c r="H25" s="40"/>
      <c r="I25" s="49"/>
      <c r="J25" s="50" t="s">
        <v>55</v>
      </c>
      <c r="K25" s="51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ht="63.0" customHeight="1">
      <c r="A26" s="55"/>
      <c r="B26" s="21" t="s">
        <v>134</v>
      </c>
      <c r="C26" s="23" t="s">
        <v>135</v>
      </c>
      <c r="D26" s="32">
        <v>34.0</v>
      </c>
      <c r="E26" s="39" t="s">
        <v>136</v>
      </c>
      <c r="F26" s="39" t="s">
        <v>137</v>
      </c>
      <c r="G26" s="39" t="s">
        <v>87</v>
      </c>
      <c r="H26" s="54" t="s">
        <v>138</v>
      </c>
      <c r="I26" s="32">
        <v>17.0</v>
      </c>
      <c r="J26" s="34" t="s">
        <v>30</v>
      </c>
      <c r="K26" s="35"/>
    </row>
    <row r="27" ht="63.0" customHeight="1">
      <c r="A27" s="55"/>
      <c r="B27" s="21" t="s">
        <v>139</v>
      </c>
      <c r="C27" s="23" t="s">
        <v>135</v>
      </c>
      <c r="D27" s="32">
        <v>35.0</v>
      </c>
      <c r="E27" s="39" t="s">
        <v>140</v>
      </c>
      <c r="F27" s="39" t="s">
        <v>141</v>
      </c>
      <c r="G27" s="39" t="s">
        <v>142</v>
      </c>
      <c r="H27" s="38"/>
      <c r="I27" s="32">
        <v>18.0</v>
      </c>
      <c r="J27" s="34" t="s">
        <v>93</v>
      </c>
      <c r="K27" s="35"/>
    </row>
    <row r="28" ht="63.0" customHeight="1">
      <c r="A28" s="55"/>
      <c r="B28" s="21" t="s">
        <v>143</v>
      </c>
      <c r="C28" s="23" t="s">
        <v>135</v>
      </c>
      <c r="D28" s="32" t="s">
        <v>144</v>
      </c>
      <c r="E28" s="62" t="s">
        <v>145</v>
      </c>
      <c r="F28" s="39" t="s">
        <v>141</v>
      </c>
      <c r="G28" s="39" t="s">
        <v>120</v>
      </c>
      <c r="H28" s="40"/>
      <c r="I28" s="32">
        <v>19.0</v>
      </c>
      <c r="J28" s="34" t="s">
        <v>99</v>
      </c>
      <c r="K28" s="35"/>
    </row>
    <row r="29" ht="102.0" customHeight="1">
      <c r="A29" s="55"/>
      <c r="B29" s="21" t="s">
        <v>146</v>
      </c>
      <c r="C29" s="23" t="s">
        <v>135</v>
      </c>
      <c r="D29" s="32" t="s">
        <v>147</v>
      </c>
      <c r="E29" s="62" t="s">
        <v>148</v>
      </c>
      <c r="F29" s="40" t="s">
        <v>149</v>
      </c>
      <c r="G29" s="40" t="s">
        <v>150</v>
      </c>
      <c r="H29" s="40"/>
      <c r="I29" s="32">
        <v>20.0</v>
      </c>
      <c r="J29" s="50" t="s">
        <v>49</v>
      </c>
      <c r="K29" s="35"/>
    </row>
    <row r="30" ht="63.0" customHeight="1">
      <c r="A30" s="55"/>
      <c r="B30" s="21" t="s">
        <v>151</v>
      </c>
      <c r="C30" s="23" t="s">
        <v>135</v>
      </c>
      <c r="D30" s="61" t="s">
        <v>106</v>
      </c>
      <c r="E30" s="39" t="s">
        <v>152</v>
      </c>
      <c r="F30" s="39" t="s">
        <v>153</v>
      </c>
      <c r="G30" s="39" t="s">
        <v>54</v>
      </c>
      <c r="H30" s="40"/>
      <c r="I30" s="49"/>
      <c r="J30" s="50" t="s">
        <v>55</v>
      </c>
      <c r="K30" s="51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ht="63.0" customHeight="1">
      <c r="A31" s="55"/>
      <c r="B31" s="21" t="s">
        <v>154</v>
      </c>
      <c r="C31" s="23" t="s">
        <v>155</v>
      </c>
      <c r="D31" s="32" t="s">
        <v>156</v>
      </c>
      <c r="E31" s="40" t="s">
        <v>157</v>
      </c>
      <c r="F31" s="39" t="s">
        <v>158</v>
      </c>
      <c r="G31" s="40" t="s">
        <v>114</v>
      </c>
      <c r="H31" s="54" t="s">
        <v>159</v>
      </c>
      <c r="I31" s="32">
        <v>21.0</v>
      </c>
      <c r="J31" s="34" t="s">
        <v>30</v>
      </c>
      <c r="K31" s="35"/>
    </row>
    <row r="32" ht="63.0" customHeight="1">
      <c r="A32" s="55"/>
      <c r="B32" s="21" t="s">
        <v>160</v>
      </c>
      <c r="C32" s="23" t="s">
        <v>155</v>
      </c>
      <c r="D32" s="32" t="s">
        <v>161</v>
      </c>
      <c r="E32" s="39" t="s">
        <v>162</v>
      </c>
      <c r="F32" s="39" t="s">
        <v>163</v>
      </c>
      <c r="G32" s="39" t="s">
        <v>164</v>
      </c>
      <c r="H32" s="38"/>
      <c r="I32" s="32">
        <v>22.0</v>
      </c>
      <c r="J32" s="34" t="s">
        <v>93</v>
      </c>
      <c r="K32" s="63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63.0" customHeight="1">
      <c r="A33" s="55"/>
      <c r="B33" s="21" t="s">
        <v>165</v>
      </c>
      <c r="C33" s="23" t="s">
        <v>155</v>
      </c>
      <c r="D33" s="32" t="s">
        <v>166</v>
      </c>
      <c r="E33" s="40" t="s">
        <v>167</v>
      </c>
      <c r="F33" s="40" t="s">
        <v>149</v>
      </c>
      <c r="G33" s="39" t="s">
        <v>168</v>
      </c>
      <c r="H33" s="40"/>
      <c r="I33" s="32">
        <v>23.0</v>
      </c>
      <c r="J33" s="34" t="s">
        <v>99</v>
      </c>
      <c r="K33" s="35"/>
    </row>
    <row r="34" ht="15.75" customHeight="1">
      <c r="A34" s="55"/>
      <c r="B34" s="21" t="s">
        <v>169</v>
      </c>
      <c r="C34" s="23" t="s">
        <v>155</v>
      </c>
      <c r="D34" s="32" t="s">
        <v>170</v>
      </c>
      <c r="E34" s="65" t="s">
        <v>171</v>
      </c>
      <c r="F34" s="39" t="s">
        <v>172</v>
      </c>
      <c r="G34" s="40" t="s">
        <v>173</v>
      </c>
      <c r="H34" s="40"/>
      <c r="I34" s="32">
        <v>24.0</v>
      </c>
      <c r="J34" s="50" t="s">
        <v>49</v>
      </c>
      <c r="K34" s="63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63.0" customHeight="1">
      <c r="A35" s="55"/>
      <c r="B35" s="21" t="s">
        <v>174</v>
      </c>
      <c r="C35" s="23" t="s">
        <v>155</v>
      </c>
      <c r="D35" s="46" t="s">
        <v>175</v>
      </c>
      <c r="E35" s="39" t="s">
        <v>176</v>
      </c>
      <c r="F35" s="66"/>
      <c r="G35" s="39" t="s">
        <v>54</v>
      </c>
      <c r="H35" s="40"/>
      <c r="I35" s="49"/>
      <c r="J35" s="50" t="s">
        <v>55</v>
      </c>
      <c r="K35" s="51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ht="63.0" customHeight="1">
      <c r="A36" s="55"/>
      <c r="B36" s="21" t="s">
        <v>177</v>
      </c>
      <c r="C36" s="23" t="s">
        <v>175</v>
      </c>
      <c r="D36" s="53" t="s">
        <v>178</v>
      </c>
      <c r="E36" s="40" t="s">
        <v>179</v>
      </c>
      <c r="F36" s="40" t="s">
        <v>180</v>
      </c>
      <c r="G36" s="39" t="s">
        <v>181</v>
      </c>
      <c r="H36" s="40"/>
      <c r="I36" s="67"/>
      <c r="J36" s="34" t="s">
        <v>182</v>
      </c>
      <c r="K36" s="35"/>
    </row>
    <row r="37" ht="64.5" customHeight="1">
      <c r="A37" s="55"/>
      <c r="B37" s="21" t="s">
        <v>183</v>
      </c>
      <c r="C37" s="23" t="s">
        <v>175</v>
      </c>
      <c r="D37" s="32" t="s">
        <v>184</v>
      </c>
      <c r="E37" s="40" t="s">
        <v>185</v>
      </c>
      <c r="F37" s="39" t="s">
        <v>186</v>
      </c>
      <c r="G37" s="39" t="s">
        <v>187</v>
      </c>
      <c r="H37" s="40"/>
      <c r="I37" s="67"/>
      <c r="J37" s="34" t="s">
        <v>188</v>
      </c>
      <c r="K37" s="35"/>
    </row>
    <row r="38" ht="75.75" customHeight="1">
      <c r="A38" s="55"/>
      <c r="B38" s="21" t="s">
        <v>189</v>
      </c>
      <c r="C38" s="23" t="s">
        <v>175</v>
      </c>
      <c r="D38" s="32" t="s">
        <v>190</v>
      </c>
      <c r="E38" s="68" t="s">
        <v>191</v>
      </c>
      <c r="F38" s="69" t="s">
        <v>192</v>
      </c>
      <c r="G38" s="69" t="s">
        <v>193</v>
      </c>
      <c r="H38" s="68"/>
      <c r="I38" s="70"/>
      <c r="J38" s="71" t="s">
        <v>194</v>
      </c>
      <c r="K38" s="35"/>
    </row>
    <row r="39" ht="95.25" customHeight="1">
      <c r="A39" s="55"/>
      <c r="B39" s="21" t="s">
        <v>195</v>
      </c>
      <c r="C39" s="23" t="s">
        <v>196</v>
      </c>
      <c r="D39" s="46" t="s">
        <v>197</v>
      </c>
      <c r="E39" s="72" t="s">
        <v>198</v>
      </c>
      <c r="F39" s="73"/>
      <c r="G39" s="73"/>
      <c r="H39" s="73"/>
      <c r="I39" s="73"/>
      <c r="J39" s="73"/>
      <c r="K39" s="35"/>
    </row>
    <row r="40" ht="56.25" customHeight="1">
      <c r="A40" s="55"/>
      <c r="B40" s="21" t="s">
        <v>199</v>
      </c>
      <c r="C40" s="23" t="s">
        <v>196</v>
      </c>
      <c r="D40" s="46" t="s">
        <v>197</v>
      </c>
      <c r="E40" s="74" t="s">
        <v>200</v>
      </c>
      <c r="F40" s="75"/>
      <c r="G40" s="75"/>
      <c r="H40" s="75"/>
      <c r="I40" s="73"/>
      <c r="J40" s="73"/>
      <c r="K40" s="35"/>
    </row>
    <row r="41" ht="82.5" customHeight="1">
      <c r="A41" s="55"/>
      <c r="B41" s="21" t="s">
        <v>201</v>
      </c>
      <c r="C41" s="23" t="s">
        <v>202</v>
      </c>
      <c r="D41" s="76" t="s">
        <v>203</v>
      </c>
      <c r="E41" s="77" t="s">
        <v>204</v>
      </c>
      <c r="F41" s="78"/>
      <c r="G41" s="79"/>
      <c r="H41" s="80"/>
      <c r="I41" s="73"/>
      <c r="J41" s="73"/>
      <c r="K41" s="35"/>
    </row>
    <row r="42" ht="46.5" customHeight="1">
      <c r="A42" s="81" t="s">
        <v>205</v>
      </c>
      <c r="B42" s="82"/>
      <c r="C42" s="82"/>
      <c r="D42" s="82"/>
      <c r="E42" s="82"/>
      <c r="F42" s="82"/>
      <c r="G42" s="82"/>
      <c r="H42" s="82"/>
      <c r="I42" s="82"/>
      <c r="J42" s="83"/>
    </row>
    <row r="43" ht="57.0" customHeight="1">
      <c r="A43" s="55"/>
      <c r="B43" s="84" t="s">
        <v>206</v>
      </c>
      <c r="C43" s="85" t="s">
        <v>207</v>
      </c>
      <c r="D43" s="32">
        <v>48.0</v>
      </c>
      <c r="E43" s="86" t="s">
        <v>208</v>
      </c>
      <c r="F43" s="86" t="s">
        <v>209</v>
      </c>
      <c r="G43" s="87" t="s">
        <v>87</v>
      </c>
      <c r="H43" s="54" t="s">
        <v>210</v>
      </c>
      <c r="I43" s="88">
        <v>25.0</v>
      </c>
      <c r="J43" s="89" t="s">
        <v>30</v>
      </c>
    </row>
    <row r="44" ht="105.0" customHeight="1">
      <c r="A44" s="55"/>
      <c r="B44" s="21" t="s">
        <v>211</v>
      </c>
      <c r="C44" s="23" t="s">
        <v>207</v>
      </c>
      <c r="D44" s="32">
        <v>49.0</v>
      </c>
      <c r="E44" s="39" t="s">
        <v>212</v>
      </c>
      <c r="F44" s="87" t="s">
        <v>213</v>
      </c>
      <c r="G44" s="39" t="s">
        <v>214</v>
      </c>
      <c r="H44" s="38"/>
      <c r="I44" s="88">
        <v>26.0</v>
      </c>
      <c r="J44" s="89" t="s">
        <v>93</v>
      </c>
    </row>
    <row r="45" ht="51.0" customHeight="1">
      <c r="A45" s="90">
        <v>46107.0</v>
      </c>
      <c r="B45" s="84" t="s">
        <v>215</v>
      </c>
      <c r="C45" s="23" t="s">
        <v>207</v>
      </c>
      <c r="D45" s="32" t="s">
        <v>216</v>
      </c>
      <c r="E45" s="25" t="s">
        <v>217</v>
      </c>
      <c r="F45" s="39" t="s">
        <v>218</v>
      </c>
      <c r="G45" s="39" t="s">
        <v>219</v>
      </c>
      <c r="H45" s="40"/>
      <c r="I45" s="32">
        <v>27.0</v>
      </c>
      <c r="J45" s="34" t="s">
        <v>99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20.75" customHeight="1">
      <c r="A46" s="90">
        <v>46114.0</v>
      </c>
      <c r="B46" s="21" t="s">
        <v>220</v>
      </c>
      <c r="C46" s="23" t="s">
        <v>207</v>
      </c>
      <c r="D46" s="32" t="s">
        <v>221</v>
      </c>
      <c r="E46" s="91" t="s">
        <v>222</v>
      </c>
      <c r="F46" s="86" t="s">
        <v>223</v>
      </c>
      <c r="G46" s="87" t="s">
        <v>224</v>
      </c>
      <c r="H46" s="86"/>
      <c r="I46" s="88">
        <v>28.0</v>
      </c>
      <c r="J46" s="92" t="s">
        <v>49</v>
      </c>
    </row>
    <row r="47" ht="63.0" customHeight="1">
      <c r="A47" s="90">
        <v>46111.0</v>
      </c>
      <c r="B47" s="84" t="s">
        <v>225</v>
      </c>
      <c r="C47" s="23" t="s">
        <v>207</v>
      </c>
      <c r="D47" s="93" t="s">
        <v>106</v>
      </c>
      <c r="E47" s="87" t="s">
        <v>226</v>
      </c>
      <c r="F47" s="87" t="s">
        <v>213</v>
      </c>
      <c r="G47" s="39" t="s">
        <v>54</v>
      </c>
      <c r="H47" s="86"/>
      <c r="I47" s="94"/>
      <c r="J47" s="92" t="s">
        <v>55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ht="70.5" customHeight="1">
      <c r="A48" s="90">
        <v>46118.0</v>
      </c>
      <c r="B48" s="21" t="s">
        <v>227</v>
      </c>
      <c r="C48" s="23" t="s">
        <v>228</v>
      </c>
      <c r="D48" s="32" t="s">
        <v>229</v>
      </c>
      <c r="E48" s="25" t="s">
        <v>230</v>
      </c>
      <c r="F48" s="39" t="s">
        <v>231</v>
      </c>
      <c r="G48" s="40" t="s">
        <v>114</v>
      </c>
      <c r="H48" s="95" t="s">
        <v>232</v>
      </c>
      <c r="I48" s="32">
        <v>29.0</v>
      </c>
      <c r="J48" s="34" t="s">
        <v>30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79.5" customHeight="1">
      <c r="A49" s="90">
        <f>A48+3</f>
        <v>46121</v>
      </c>
      <c r="B49" s="84" t="s">
        <v>233</v>
      </c>
      <c r="C49" s="23" t="s">
        <v>228</v>
      </c>
      <c r="D49" s="32" t="s">
        <v>234</v>
      </c>
      <c r="E49" s="39" t="s">
        <v>235</v>
      </c>
      <c r="F49" s="39" t="s">
        <v>236</v>
      </c>
      <c r="G49" s="39" t="s">
        <v>237</v>
      </c>
      <c r="H49" s="38"/>
      <c r="I49" s="32">
        <v>30.0</v>
      </c>
      <c r="J49" s="34" t="s">
        <v>93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81.75" customHeight="1">
      <c r="A50" s="90">
        <f>A49+4</f>
        <v>46125</v>
      </c>
      <c r="B50" s="21" t="s">
        <v>238</v>
      </c>
      <c r="C50" s="23" t="s">
        <v>228</v>
      </c>
      <c r="D50" s="32" t="s">
        <v>239</v>
      </c>
      <c r="E50" s="87" t="s">
        <v>240</v>
      </c>
      <c r="F50" s="86" t="s">
        <v>149</v>
      </c>
      <c r="G50" s="87" t="s">
        <v>241</v>
      </c>
      <c r="H50" s="86"/>
      <c r="I50" s="88">
        <v>31.0</v>
      </c>
      <c r="J50" s="89" t="s">
        <v>99</v>
      </c>
    </row>
    <row r="51" ht="98.25" customHeight="1">
      <c r="A51" s="90">
        <f>A50+3</f>
        <v>46128</v>
      </c>
      <c r="B51" s="84" t="s">
        <v>242</v>
      </c>
      <c r="C51" s="23" t="s">
        <v>228</v>
      </c>
      <c r="D51" s="32" t="s">
        <v>243</v>
      </c>
      <c r="E51" s="96" t="s">
        <v>244</v>
      </c>
      <c r="F51" s="87" t="s">
        <v>245</v>
      </c>
      <c r="G51" s="87" t="s">
        <v>246</v>
      </c>
      <c r="H51" s="86"/>
      <c r="I51" s="88">
        <v>32.0</v>
      </c>
      <c r="J51" s="92" t="s">
        <v>49</v>
      </c>
    </row>
    <row r="52" ht="63.0" customHeight="1">
      <c r="A52" s="90">
        <f>A51+4</f>
        <v>46132</v>
      </c>
      <c r="B52" s="21" t="s">
        <v>247</v>
      </c>
      <c r="C52" s="23" t="s">
        <v>228</v>
      </c>
      <c r="D52" s="93" t="s">
        <v>106</v>
      </c>
      <c r="E52" s="97" t="s">
        <v>248</v>
      </c>
      <c r="F52" s="87" t="s">
        <v>236</v>
      </c>
      <c r="G52" s="87" t="s">
        <v>54</v>
      </c>
      <c r="H52" s="86"/>
      <c r="I52" s="94"/>
      <c r="J52" s="92" t="s">
        <v>55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ht="76.5" customHeight="1">
      <c r="A53" s="90">
        <f>A52+3</f>
        <v>46135</v>
      </c>
      <c r="B53" s="84" t="s">
        <v>249</v>
      </c>
      <c r="C53" s="23" t="s">
        <v>250</v>
      </c>
      <c r="D53" s="32">
        <v>64.0</v>
      </c>
      <c r="E53" s="39" t="s">
        <v>251</v>
      </c>
      <c r="F53" s="39" t="s">
        <v>252</v>
      </c>
      <c r="G53" s="39" t="s">
        <v>87</v>
      </c>
      <c r="H53" s="95" t="s">
        <v>253</v>
      </c>
      <c r="I53" s="32">
        <v>33.0</v>
      </c>
      <c r="J53" s="34" t="s">
        <v>30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39.5" customHeight="1">
      <c r="A54" s="98">
        <v>46149.0</v>
      </c>
      <c r="B54" s="21" t="s">
        <v>254</v>
      </c>
      <c r="C54" s="23" t="s">
        <v>250</v>
      </c>
      <c r="D54" s="32">
        <v>65.0</v>
      </c>
      <c r="E54" s="37" t="s">
        <v>255</v>
      </c>
      <c r="F54" s="37" t="s">
        <v>256</v>
      </c>
      <c r="G54" s="39" t="s">
        <v>257</v>
      </c>
      <c r="H54" s="38"/>
      <c r="I54" s="32">
        <v>34.0</v>
      </c>
      <c r="J54" s="34" t="s">
        <v>93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84.0" customHeight="1">
      <c r="A55" s="90">
        <f>A54+4</f>
        <v>46153</v>
      </c>
      <c r="B55" s="84" t="s">
        <v>258</v>
      </c>
      <c r="C55" s="23" t="s">
        <v>250</v>
      </c>
      <c r="D55" s="32" t="s">
        <v>259</v>
      </c>
      <c r="E55" s="86" t="s">
        <v>260</v>
      </c>
      <c r="F55" s="87" t="s">
        <v>261</v>
      </c>
      <c r="G55" s="86" t="s">
        <v>114</v>
      </c>
      <c r="H55" s="86"/>
      <c r="I55" s="88">
        <v>35.0</v>
      </c>
      <c r="J55" s="89" t="s">
        <v>99</v>
      </c>
    </row>
    <row r="56" ht="70.5" customHeight="1">
      <c r="A56" s="90">
        <f>A55+3</f>
        <v>46156</v>
      </c>
      <c r="B56" s="21" t="s">
        <v>262</v>
      </c>
      <c r="C56" s="23" t="s">
        <v>250</v>
      </c>
      <c r="D56" s="32" t="s">
        <v>263</v>
      </c>
      <c r="E56" s="96" t="s">
        <v>264</v>
      </c>
      <c r="F56" s="40" t="s">
        <v>265</v>
      </c>
      <c r="G56" s="87" t="s">
        <v>266</v>
      </c>
      <c r="H56" s="86"/>
      <c r="I56" s="88">
        <v>36.0</v>
      </c>
      <c r="J56" s="92" t="s">
        <v>49</v>
      </c>
    </row>
    <row r="57" ht="102.0" customHeight="1">
      <c r="A57" s="90">
        <f>A56+4</f>
        <v>46160</v>
      </c>
      <c r="B57" s="84" t="s">
        <v>267</v>
      </c>
      <c r="C57" s="23" t="s">
        <v>250</v>
      </c>
      <c r="D57" s="93" t="s">
        <v>106</v>
      </c>
      <c r="E57" s="87" t="s">
        <v>268</v>
      </c>
      <c r="F57" s="39" t="s">
        <v>261</v>
      </c>
      <c r="G57" s="87" t="s">
        <v>54</v>
      </c>
      <c r="H57" s="86"/>
      <c r="I57" s="94"/>
      <c r="J57" s="92" t="s">
        <v>55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ht="72.0" customHeight="1">
      <c r="A58" s="90">
        <f>A57+3</f>
        <v>46163</v>
      </c>
      <c r="B58" s="21" t="s">
        <v>269</v>
      </c>
      <c r="C58" s="23" t="s">
        <v>270</v>
      </c>
      <c r="D58" s="32" t="s">
        <v>271</v>
      </c>
      <c r="E58" s="39" t="s">
        <v>272</v>
      </c>
      <c r="F58" s="39" t="s">
        <v>273</v>
      </c>
      <c r="G58" s="40" t="s">
        <v>114</v>
      </c>
      <c r="H58" s="95" t="s">
        <v>274</v>
      </c>
      <c r="I58" s="32">
        <v>37.0</v>
      </c>
      <c r="J58" s="34" t="s">
        <v>30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57.0" customHeight="1">
      <c r="A59" s="90">
        <f>A58+4</f>
        <v>46167</v>
      </c>
      <c r="B59" s="84" t="s">
        <v>275</v>
      </c>
      <c r="C59" s="23" t="s">
        <v>270</v>
      </c>
      <c r="D59" s="32" t="s">
        <v>276</v>
      </c>
      <c r="E59" s="39" t="s">
        <v>277</v>
      </c>
      <c r="F59" s="39" t="s">
        <v>278</v>
      </c>
      <c r="G59" s="39" t="s">
        <v>279</v>
      </c>
      <c r="H59" s="38"/>
      <c r="I59" s="32">
        <v>38.0</v>
      </c>
      <c r="J59" s="34" t="s">
        <v>93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93.75" customHeight="1">
      <c r="A60" s="90">
        <f>A59+3</f>
        <v>46170</v>
      </c>
      <c r="B60" s="21" t="s">
        <v>14</v>
      </c>
      <c r="C60" s="23" t="s">
        <v>270</v>
      </c>
      <c r="D60" s="32" t="s">
        <v>280</v>
      </c>
      <c r="E60" s="39" t="s">
        <v>281</v>
      </c>
      <c r="F60" s="40" t="s">
        <v>282</v>
      </c>
      <c r="G60" s="39" t="s">
        <v>283</v>
      </c>
      <c r="H60" s="40"/>
      <c r="I60" s="32">
        <v>39.0</v>
      </c>
      <c r="J60" s="34" t="s">
        <v>99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76.5" customHeight="1">
      <c r="A61" s="90">
        <f>A60+4</f>
        <v>46174</v>
      </c>
      <c r="B61" s="84" t="s">
        <v>284</v>
      </c>
      <c r="C61" s="23" t="s">
        <v>270</v>
      </c>
      <c r="D61" s="32" t="s">
        <v>285</v>
      </c>
      <c r="E61" s="99" t="s">
        <v>286</v>
      </c>
      <c r="F61" s="39" t="s">
        <v>287</v>
      </c>
      <c r="G61" s="39" t="s">
        <v>288</v>
      </c>
      <c r="H61" s="40"/>
      <c r="I61" s="32">
        <v>40.0</v>
      </c>
      <c r="J61" s="50" t="s">
        <v>49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63.0" customHeight="1">
      <c r="A62" s="90">
        <f>A61+3</f>
        <v>46177</v>
      </c>
      <c r="B62" s="21" t="s">
        <v>289</v>
      </c>
      <c r="C62" s="23" t="s">
        <v>270</v>
      </c>
      <c r="D62" s="93" t="s">
        <v>106</v>
      </c>
      <c r="E62" s="39" t="s">
        <v>290</v>
      </c>
      <c r="F62" s="39" t="s">
        <v>278</v>
      </c>
      <c r="G62" s="39" t="s">
        <v>54</v>
      </c>
      <c r="H62" s="40"/>
      <c r="I62" s="49"/>
      <c r="J62" s="50" t="s">
        <v>55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ht="45.75" customHeight="1">
      <c r="A63" s="90">
        <f>A62+4</f>
        <v>46181</v>
      </c>
      <c r="B63" s="84" t="s">
        <v>291</v>
      </c>
      <c r="C63" s="23" t="s">
        <v>292</v>
      </c>
      <c r="D63" s="32">
        <v>78.0</v>
      </c>
      <c r="E63" s="40" t="s">
        <v>293</v>
      </c>
      <c r="F63" s="39" t="s">
        <v>294</v>
      </c>
      <c r="G63" s="39" t="s">
        <v>87</v>
      </c>
      <c r="H63" s="95" t="s">
        <v>295</v>
      </c>
      <c r="I63" s="32">
        <v>41.0</v>
      </c>
      <c r="J63" s="34" t="s">
        <v>30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99.0" customHeight="1">
      <c r="A64" s="90">
        <f>A63+3</f>
        <v>46184</v>
      </c>
      <c r="B64" s="21" t="s">
        <v>296</v>
      </c>
      <c r="C64" s="23" t="s">
        <v>292</v>
      </c>
      <c r="D64" s="32">
        <v>79.0</v>
      </c>
      <c r="E64" s="39" t="s">
        <v>297</v>
      </c>
      <c r="F64" s="39" t="s">
        <v>298</v>
      </c>
      <c r="G64" s="40" t="s">
        <v>114</v>
      </c>
      <c r="H64" s="38"/>
      <c r="I64" s="32">
        <v>42.0</v>
      </c>
      <c r="J64" s="34" t="s">
        <v>93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63.0" customHeight="1">
      <c r="A65" s="90">
        <f>A64+4</f>
        <v>46188</v>
      </c>
      <c r="B65" s="84" t="s">
        <v>299</v>
      </c>
      <c r="C65" s="23" t="s">
        <v>292</v>
      </c>
      <c r="D65" s="32" t="s">
        <v>300</v>
      </c>
      <c r="E65" s="39" t="s">
        <v>301</v>
      </c>
      <c r="F65" s="39" t="s">
        <v>302</v>
      </c>
      <c r="G65" s="39" t="s">
        <v>303</v>
      </c>
      <c r="H65" s="40"/>
      <c r="I65" s="32">
        <v>43.0</v>
      </c>
      <c r="J65" s="34" t="s">
        <v>99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93.0" customHeight="1">
      <c r="A66" s="90">
        <f>A65+3</f>
        <v>46191</v>
      </c>
      <c r="B66" s="21" t="s">
        <v>304</v>
      </c>
      <c r="C66" s="23" t="s">
        <v>292</v>
      </c>
      <c r="D66" s="32" t="s">
        <v>305</v>
      </c>
      <c r="E66" s="99" t="s">
        <v>306</v>
      </c>
      <c r="F66" s="40" t="s">
        <v>307</v>
      </c>
      <c r="G66" s="39" t="s">
        <v>283</v>
      </c>
      <c r="H66" s="40"/>
      <c r="I66" s="32">
        <v>44.0</v>
      </c>
      <c r="J66" s="50" t="s">
        <v>49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72.75" customHeight="1">
      <c r="A67" s="90">
        <f>A66+4</f>
        <v>46195</v>
      </c>
      <c r="B67" s="84" t="s">
        <v>308</v>
      </c>
      <c r="C67" s="23" t="s">
        <v>292</v>
      </c>
      <c r="D67" s="93" t="s">
        <v>106</v>
      </c>
      <c r="E67" s="39" t="s">
        <v>309</v>
      </c>
      <c r="F67" s="39" t="s">
        <v>298</v>
      </c>
      <c r="G67" s="39" t="s">
        <v>54</v>
      </c>
      <c r="H67" s="40"/>
      <c r="I67" s="49"/>
      <c r="J67" s="50" t="s">
        <v>55</v>
      </c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ht="49.5" customHeight="1">
      <c r="A68" s="90">
        <f>A67+3</f>
        <v>46198</v>
      </c>
      <c r="B68" s="21" t="s">
        <v>310</v>
      </c>
      <c r="C68" s="23" t="s">
        <v>311</v>
      </c>
      <c r="D68" s="32" t="s">
        <v>312</v>
      </c>
      <c r="E68" s="39" t="s">
        <v>313</v>
      </c>
      <c r="F68" s="39" t="s">
        <v>314</v>
      </c>
      <c r="G68" s="39" t="s">
        <v>87</v>
      </c>
      <c r="H68" s="95" t="s">
        <v>315</v>
      </c>
      <c r="I68" s="32">
        <v>45.0</v>
      </c>
      <c r="J68" s="34" t="s">
        <v>30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23.75" customHeight="1">
      <c r="A69" s="90">
        <f>A68+4</f>
        <v>46202</v>
      </c>
      <c r="B69" s="84" t="s">
        <v>316</v>
      </c>
      <c r="C69" s="23" t="s">
        <v>311</v>
      </c>
      <c r="D69" s="32" t="s">
        <v>317</v>
      </c>
      <c r="E69" s="39" t="s">
        <v>318</v>
      </c>
      <c r="F69" s="39" t="s">
        <v>319</v>
      </c>
      <c r="G69" s="40" t="s">
        <v>320</v>
      </c>
      <c r="H69" s="38"/>
      <c r="I69" s="32">
        <v>46.0</v>
      </c>
      <c r="J69" s="34" t="s">
        <v>93</v>
      </c>
      <c r="K69" s="56">
        <f>72/8</f>
        <v>9</v>
      </c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96.75" customHeight="1">
      <c r="A70" s="90">
        <f>A69+3</f>
        <v>46205</v>
      </c>
      <c r="B70" s="21" t="s">
        <v>321</v>
      </c>
      <c r="C70" s="23" t="s">
        <v>311</v>
      </c>
      <c r="D70" s="32" t="s">
        <v>322</v>
      </c>
      <c r="E70" s="39" t="s">
        <v>323</v>
      </c>
      <c r="F70" s="40" t="s">
        <v>307</v>
      </c>
      <c r="G70" s="39" t="s">
        <v>324</v>
      </c>
      <c r="H70" s="40"/>
      <c r="I70" s="32">
        <v>47.0</v>
      </c>
      <c r="J70" s="34" t="s">
        <v>99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92.25" customHeight="1">
      <c r="A71" s="90">
        <f>A70+4</f>
        <v>46209</v>
      </c>
      <c r="B71" s="84" t="s">
        <v>325</v>
      </c>
      <c r="C71" s="23" t="s">
        <v>311</v>
      </c>
      <c r="D71" s="32" t="s">
        <v>326</v>
      </c>
      <c r="E71" s="100" t="s">
        <v>327</v>
      </c>
      <c r="F71" s="66"/>
      <c r="G71" s="39" t="s">
        <v>328</v>
      </c>
      <c r="H71" s="40"/>
      <c r="I71" s="32">
        <v>48.0</v>
      </c>
      <c r="J71" s="50" t="s">
        <v>49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59.25" customHeight="1">
      <c r="A72" s="90">
        <f>A71+3</f>
        <v>46212</v>
      </c>
      <c r="B72" s="21" t="s">
        <v>329</v>
      </c>
      <c r="C72" s="23" t="s">
        <v>311</v>
      </c>
      <c r="D72" s="93" t="s">
        <v>106</v>
      </c>
      <c r="E72" s="39" t="s">
        <v>330</v>
      </c>
      <c r="F72" s="39" t="s">
        <v>319</v>
      </c>
      <c r="G72" s="39" t="s">
        <v>54</v>
      </c>
      <c r="H72" s="40"/>
      <c r="I72" s="49"/>
      <c r="J72" s="50" t="s">
        <v>55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ht="75.0" customHeight="1">
      <c r="A73" s="90">
        <f>A72+4</f>
        <v>46216</v>
      </c>
      <c r="B73" s="84" t="s">
        <v>331</v>
      </c>
      <c r="C73" s="23" t="s">
        <v>175</v>
      </c>
      <c r="D73" s="32" t="s">
        <v>190</v>
      </c>
      <c r="E73" s="40" t="s">
        <v>332</v>
      </c>
      <c r="F73" s="39" t="s">
        <v>333</v>
      </c>
      <c r="G73" s="39" t="s">
        <v>334</v>
      </c>
      <c r="H73" s="40"/>
      <c r="I73" s="67"/>
      <c r="J73" s="34" t="s">
        <v>335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19.25" customHeight="1">
      <c r="A74" s="90">
        <f>A73+3</f>
        <v>46219</v>
      </c>
      <c r="B74" s="21" t="s">
        <v>336</v>
      </c>
      <c r="C74" s="23" t="s">
        <v>175</v>
      </c>
      <c r="D74" s="32" t="s">
        <v>337</v>
      </c>
      <c r="E74" s="40" t="s">
        <v>338</v>
      </c>
      <c r="F74" s="39" t="s">
        <v>339</v>
      </c>
      <c r="G74" s="39" t="s">
        <v>340</v>
      </c>
      <c r="H74" s="40"/>
      <c r="I74" s="67"/>
      <c r="J74" s="34" t="s">
        <v>341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02.75" customHeight="1">
      <c r="A75" s="90">
        <f>A74+4</f>
        <v>46223</v>
      </c>
      <c r="B75" s="84" t="s">
        <v>342</v>
      </c>
      <c r="C75" s="23" t="s">
        <v>175</v>
      </c>
      <c r="D75" s="32" t="s">
        <v>343</v>
      </c>
      <c r="E75" s="68" t="s">
        <v>344</v>
      </c>
      <c r="F75" s="69" t="s">
        <v>345</v>
      </c>
      <c r="G75" s="69" t="s">
        <v>346</v>
      </c>
      <c r="H75" s="68"/>
      <c r="I75" s="70"/>
      <c r="J75" s="71" t="s">
        <v>347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84.75" customHeight="1">
      <c r="A76" s="90">
        <f>A75+3</f>
        <v>46226</v>
      </c>
      <c r="B76" s="21" t="s">
        <v>348</v>
      </c>
      <c r="C76" s="101" t="s">
        <v>349</v>
      </c>
      <c r="D76" s="102" t="s">
        <v>197</v>
      </c>
      <c r="E76" s="72" t="s">
        <v>350</v>
      </c>
      <c r="F76" s="73"/>
      <c r="G76" s="103" t="s">
        <v>351</v>
      </c>
      <c r="H76" s="104"/>
      <c r="I76" s="73"/>
      <c r="J76" s="73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</row>
    <row r="77" ht="72.75" customHeight="1">
      <c r="A77" s="90">
        <f>A76+4</f>
        <v>46230</v>
      </c>
      <c r="B77" s="84" t="s">
        <v>352</v>
      </c>
      <c r="C77" s="101" t="s">
        <v>349</v>
      </c>
      <c r="D77" s="102" t="s">
        <v>197</v>
      </c>
      <c r="E77" s="72" t="s">
        <v>353</v>
      </c>
      <c r="F77" s="73"/>
      <c r="G77" s="13"/>
      <c r="H77" s="104"/>
      <c r="I77" s="73"/>
      <c r="J77" s="73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</row>
    <row r="78" ht="60.0" customHeight="1">
      <c r="A78" s="90">
        <f>A77+3</f>
        <v>46233</v>
      </c>
      <c r="B78" s="21" t="s">
        <v>354</v>
      </c>
      <c r="C78" s="106" t="s">
        <v>355</v>
      </c>
      <c r="D78" s="107"/>
      <c r="E78" s="108" t="s">
        <v>356</v>
      </c>
      <c r="F78" s="3"/>
      <c r="G78" s="109" t="s">
        <v>357</v>
      </c>
      <c r="H78" s="109"/>
      <c r="I78" s="73"/>
      <c r="J78" s="73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</row>
    <row r="79" ht="33.0" customHeight="1">
      <c r="A79" s="110"/>
      <c r="B79" s="35"/>
      <c r="C79" s="35"/>
      <c r="D79" s="35"/>
    </row>
    <row r="80" ht="14.25" customHeight="1">
      <c r="A80" s="110"/>
      <c r="B80" s="35"/>
      <c r="C80" s="35"/>
      <c r="D80" s="35"/>
    </row>
    <row r="81" ht="17.25" customHeight="1">
      <c r="A81" s="110"/>
      <c r="B81" s="35"/>
      <c r="C81" s="35"/>
      <c r="D81" s="35"/>
    </row>
    <row r="82" ht="21.75" customHeight="1">
      <c r="A82" s="110"/>
      <c r="B82" s="35"/>
      <c r="C82" s="35"/>
      <c r="D82" s="35"/>
    </row>
    <row r="83" ht="14.25" customHeight="1">
      <c r="A83" s="110"/>
      <c r="B83" s="35"/>
      <c r="C83" s="35"/>
      <c r="D83" s="35"/>
    </row>
    <row r="84" ht="14.25" customHeight="1">
      <c r="A84" s="110"/>
      <c r="B84" s="35"/>
      <c r="C84" s="35"/>
      <c r="D84" s="35"/>
    </row>
    <row r="85" ht="14.25" customHeight="1">
      <c r="A85" s="110"/>
      <c r="B85" s="35"/>
      <c r="C85" s="35"/>
      <c r="D85" s="35"/>
    </row>
    <row r="86" ht="14.25" customHeight="1">
      <c r="A86" s="110"/>
      <c r="B86" s="35"/>
      <c r="C86" s="35"/>
      <c r="D86" s="35"/>
    </row>
    <row r="87" ht="14.25" customHeight="1">
      <c r="A87" s="110"/>
      <c r="B87" s="35"/>
      <c r="C87" s="35"/>
      <c r="D87" s="35"/>
    </row>
    <row r="88" ht="14.25" customHeight="1">
      <c r="A88" s="110"/>
      <c r="B88" s="35"/>
      <c r="C88" s="35"/>
      <c r="D88" s="35"/>
    </row>
    <row r="89" ht="14.25" customHeight="1">
      <c r="A89" s="110"/>
      <c r="B89" s="35"/>
      <c r="C89" s="35"/>
      <c r="D89" s="35"/>
    </row>
    <row r="90" ht="14.25" customHeight="1">
      <c r="A90" s="110"/>
      <c r="B90" s="35"/>
      <c r="C90" s="35"/>
      <c r="D90" s="35"/>
    </row>
    <row r="91" ht="14.25" customHeight="1">
      <c r="A91" s="110"/>
      <c r="B91" s="35"/>
      <c r="C91" s="35"/>
      <c r="D91" s="35"/>
    </row>
    <row r="92" ht="14.25" customHeight="1">
      <c r="A92" s="110"/>
      <c r="B92" s="35"/>
      <c r="C92" s="35"/>
      <c r="D92" s="35"/>
    </row>
    <row r="93" ht="14.25" customHeight="1">
      <c r="A93" s="111"/>
      <c r="B93" s="112"/>
      <c r="C93" s="112"/>
      <c r="D93" s="112"/>
      <c r="J93" s="113"/>
    </row>
    <row r="94" ht="14.25" customHeight="1">
      <c r="A94" s="111"/>
      <c r="B94" s="112"/>
      <c r="C94" s="112"/>
      <c r="D94" s="112"/>
      <c r="J94" s="113"/>
    </row>
    <row r="95" ht="14.25" customHeight="1">
      <c r="A95" s="111"/>
      <c r="B95" s="112"/>
      <c r="C95" s="112"/>
      <c r="D95" s="112"/>
      <c r="J95" s="113"/>
    </row>
    <row r="96" ht="14.25" customHeight="1">
      <c r="A96" s="111"/>
      <c r="B96" s="112"/>
      <c r="C96" s="112"/>
      <c r="D96" s="112"/>
      <c r="J96" s="113"/>
    </row>
    <row r="97" ht="14.25" customHeight="1">
      <c r="A97" s="111"/>
      <c r="B97" s="112"/>
      <c r="C97" s="112"/>
      <c r="D97" s="112"/>
      <c r="J97" s="113"/>
    </row>
    <row r="98" ht="14.25" customHeight="1">
      <c r="A98" s="111"/>
      <c r="B98" s="112"/>
      <c r="C98" s="112"/>
      <c r="D98" s="112"/>
      <c r="J98" s="113"/>
    </row>
    <row r="99" ht="14.25" customHeight="1">
      <c r="A99" s="111"/>
      <c r="B99" s="112"/>
      <c r="C99" s="112"/>
      <c r="D99" s="112"/>
      <c r="J99" s="113"/>
    </row>
    <row r="100" ht="14.25" customHeight="1">
      <c r="A100" s="111"/>
      <c r="B100" s="112"/>
      <c r="C100" s="112"/>
      <c r="D100" s="112"/>
      <c r="J100" s="113"/>
    </row>
    <row r="101" ht="14.25" customHeight="1">
      <c r="A101" s="111"/>
      <c r="B101" s="112"/>
      <c r="C101" s="112"/>
      <c r="D101" s="112"/>
      <c r="J101" s="113"/>
    </row>
    <row r="102" ht="14.25" customHeight="1">
      <c r="A102" s="111"/>
      <c r="B102" s="112"/>
      <c r="C102" s="112"/>
      <c r="D102" s="112"/>
      <c r="J102" s="113"/>
    </row>
    <row r="103" ht="14.25" customHeight="1">
      <c r="A103" s="111"/>
      <c r="B103" s="112"/>
      <c r="C103" s="112"/>
      <c r="D103" s="112"/>
      <c r="J103" s="113"/>
    </row>
    <row r="104" ht="14.25" customHeight="1">
      <c r="A104" s="111"/>
      <c r="B104" s="112"/>
      <c r="C104" s="112"/>
      <c r="D104" s="112"/>
      <c r="J104" s="113"/>
    </row>
    <row r="105" ht="14.25" customHeight="1">
      <c r="A105" s="111"/>
      <c r="B105" s="112"/>
      <c r="C105" s="112"/>
      <c r="D105" s="112"/>
      <c r="J105" s="113"/>
    </row>
    <row r="106" ht="14.25" customHeight="1">
      <c r="A106" s="111"/>
      <c r="B106" s="112"/>
      <c r="C106" s="112"/>
      <c r="D106" s="112"/>
      <c r="J106" s="113"/>
    </row>
    <row r="107" ht="14.25" customHeight="1">
      <c r="A107" s="111"/>
      <c r="B107" s="112"/>
      <c r="C107" s="112"/>
      <c r="D107" s="112"/>
      <c r="J107" s="113"/>
    </row>
    <row r="108" ht="14.25" customHeight="1">
      <c r="A108" s="111"/>
      <c r="B108" s="112"/>
      <c r="C108" s="112"/>
      <c r="D108" s="112"/>
      <c r="J108" s="113"/>
    </row>
    <row r="109" ht="14.25" customHeight="1">
      <c r="A109" s="111"/>
      <c r="B109" s="112"/>
      <c r="C109" s="112"/>
      <c r="D109" s="112"/>
      <c r="J109" s="113"/>
    </row>
    <row r="110" ht="14.25" customHeight="1">
      <c r="A110" s="111"/>
      <c r="B110" s="112"/>
      <c r="C110" s="112"/>
      <c r="D110" s="112"/>
      <c r="J110" s="113"/>
    </row>
    <row r="111" ht="14.25" customHeight="1">
      <c r="A111" s="111"/>
      <c r="B111" s="112"/>
      <c r="C111" s="112"/>
      <c r="D111" s="112"/>
      <c r="J111" s="113"/>
    </row>
    <row r="112" ht="14.25" customHeight="1">
      <c r="A112" s="111"/>
      <c r="B112" s="112"/>
      <c r="C112" s="112"/>
      <c r="D112" s="112"/>
      <c r="J112" s="113"/>
    </row>
    <row r="113" ht="14.25" customHeight="1">
      <c r="A113" s="111"/>
      <c r="B113" s="112"/>
      <c r="C113" s="112"/>
      <c r="D113" s="112"/>
      <c r="J113" s="113"/>
    </row>
    <row r="114" ht="14.25" customHeight="1">
      <c r="A114" s="111"/>
      <c r="B114" s="112"/>
      <c r="C114" s="112"/>
      <c r="D114" s="112"/>
      <c r="J114" s="113"/>
    </row>
    <row r="115" ht="14.25" customHeight="1">
      <c r="A115" s="111"/>
      <c r="B115" s="112"/>
      <c r="C115" s="112"/>
      <c r="D115" s="112"/>
      <c r="J115" s="113"/>
    </row>
    <row r="116" ht="14.25" customHeight="1">
      <c r="A116" s="111"/>
      <c r="B116" s="112"/>
      <c r="C116" s="112"/>
      <c r="D116" s="112"/>
      <c r="J116" s="113"/>
    </row>
    <row r="117" ht="14.25" customHeight="1">
      <c r="A117" s="111"/>
      <c r="B117" s="112"/>
      <c r="C117" s="112"/>
      <c r="D117" s="112"/>
      <c r="J117" s="113"/>
    </row>
    <row r="118" ht="14.25" customHeight="1">
      <c r="A118" s="111"/>
      <c r="B118" s="112"/>
      <c r="C118" s="112"/>
      <c r="D118" s="112"/>
      <c r="J118" s="113"/>
    </row>
    <row r="119" ht="14.25" customHeight="1">
      <c r="A119" s="111"/>
      <c r="B119" s="112"/>
      <c r="C119" s="112"/>
      <c r="D119" s="112"/>
      <c r="J119" s="113"/>
    </row>
    <row r="120" ht="14.25" customHeight="1">
      <c r="A120" s="111"/>
      <c r="B120" s="112"/>
      <c r="C120" s="112"/>
      <c r="D120" s="112"/>
      <c r="J120" s="113"/>
    </row>
    <row r="121" ht="14.25" customHeight="1">
      <c r="A121" s="111"/>
      <c r="B121" s="112"/>
      <c r="C121" s="112"/>
      <c r="D121" s="112"/>
      <c r="J121" s="113"/>
    </row>
    <row r="122" ht="14.25" customHeight="1">
      <c r="A122" s="111"/>
      <c r="B122" s="112"/>
      <c r="C122" s="112"/>
      <c r="D122" s="112"/>
      <c r="J122" s="113"/>
    </row>
    <row r="123" ht="14.25" customHeight="1">
      <c r="A123" s="111"/>
      <c r="B123" s="112"/>
      <c r="C123" s="112"/>
      <c r="D123" s="112"/>
      <c r="J123" s="113"/>
    </row>
    <row r="124" ht="14.25" customHeight="1">
      <c r="A124" s="111"/>
      <c r="B124" s="112"/>
      <c r="C124" s="112"/>
      <c r="D124" s="112"/>
      <c r="J124" s="113"/>
    </row>
    <row r="125" ht="14.25" customHeight="1">
      <c r="A125" s="111"/>
      <c r="B125" s="112"/>
      <c r="C125" s="112"/>
      <c r="D125" s="112"/>
      <c r="J125" s="113"/>
    </row>
    <row r="126" ht="14.25" customHeight="1">
      <c r="A126" s="111"/>
      <c r="B126" s="112"/>
      <c r="C126" s="112"/>
      <c r="D126" s="112"/>
      <c r="J126" s="113"/>
    </row>
    <row r="127" ht="14.25" customHeight="1">
      <c r="A127" s="111"/>
      <c r="B127" s="112"/>
      <c r="C127" s="112"/>
      <c r="D127" s="112"/>
      <c r="J127" s="113"/>
    </row>
    <row r="128" ht="14.25" customHeight="1">
      <c r="A128" s="111"/>
      <c r="B128" s="112"/>
      <c r="C128" s="112"/>
      <c r="D128" s="112"/>
      <c r="J128" s="113"/>
    </row>
    <row r="129" ht="14.25" customHeight="1">
      <c r="A129" s="111"/>
      <c r="B129" s="112"/>
      <c r="C129" s="112"/>
      <c r="D129" s="112"/>
      <c r="J129" s="113"/>
    </row>
    <row r="130" ht="14.25" customHeight="1">
      <c r="A130" s="111"/>
      <c r="B130" s="112"/>
      <c r="C130" s="112"/>
      <c r="D130" s="112"/>
      <c r="J130" s="113"/>
    </row>
    <row r="131" ht="14.25" customHeight="1">
      <c r="A131" s="111"/>
      <c r="B131" s="112"/>
      <c r="C131" s="112"/>
      <c r="D131" s="112"/>
      <c r="J131" s="113"/>
    </row>
    <row r="132" ht="14.25" customHeight="1">
      <c r="A132" s="111"/>
      <c r="B132" s="112"/>
      <c r="C132" s="112"/>
      <c r="D132" s="112"/>
      <c r="J132" s="113"/>
    </row>
    <row r="133" ht="14.25" customHeight="1">
      <c r="A133" s="111"/>
      <c r="B133" s="112"/>
      <c r="C133" s="112"/>
      <c r="D133" s="112"/>
      <c r="J133" s="113"/>
    </row>
    <row r="134" ht="14.25" customHeight="1">
      <c r="A134" s="111"/>
      <c r="B134" s="112"/>
      <c r="C134" s="112"/>
      <c r="D134" s="112"/>
      <c r="J134" s="113"/>
    </row>
    <row r="135" ht="14.25" customHeight="1">
      <c r="A135" s="111"/>
      <c r="B135" s="112"/>
      <c r="C135" s="112"/>
      <c r="D135" s="112"/>
      <c r="J135" s="113"/>
    </row>
    <row r="136" ht="14.25" customHeight="1">
      <c r="A136" s="111"/>
      <c r="B136" s="112"/>
      <c r="C136" s="112"/>
      <c r="D136" s="112"/>
      <c r="J136" s="113"/>
    </row>
    <row r="137" ht="14.25" customHeight="1">
      <c r="A137" s="111"/>
      <c r="B137" s="112"/>
      <c r="C137" s="112"/>
      <c r="D137" s="112"/>
      <c r="J137" s="113"/>
    </row>
    <row r="138" ht="14.25" customHeight="1">
      <c r="A138" s="111"/>
      <c r="B138" s="112"/>
      <c r="C138" s="112"/>
      <c r="D138" s="112"/>
      <c r="J138" s="113"/>
    </row>
    <row r="139" ht="14.25" customHeight="1">
      <c r="A139" s="111"/>
      <c r="B139" s="112"/>
      <c r="C139" s="112"/>
      <c r="D139" s="112"/>
      <c r="J139" s="113"/>
    </row>
    <row r="140" ht="14.25" customHeight="1">
      <c r="A140" s="111"/>
      <c r="B140" s="112"/>
      <c r="C140" s="112"/>
      <c r="D140" s="112"/>
      <c r="J140" s="113"/>
    </row>
    <row r="141" ht="14.25" customHeight="1">
      <c r="A141" s="111"/>
      <c r="B141" s="112"/>
      <c r="C141" s="112"/>
      <c r="D141" s="112"/>
      <c r="J141" s="113"/>
    </row>
    <row r="142" ht="14.25" customHeight="1">
      <c r="A142" s="111"/>
      <c r="B142" s="112"/>
      <c r="C142" s="112"/>
      <c r="D142" s="112"/>
      <c r="J142" s="113"/>
    </row>
    <row r="143" ht="14.25" customHeight="1">
      <c r="A143" s="111"/>
      <c r="B143" s="112"/>
      <c r="C143" s="112"/>
      <c r="D143" s="112"/>
      <c r="J143" s="113"/>
    </row>
    <row r="144" ht="14.25" customHeight="1">
      <c r="A144" s="111"/>
      <c r="B144" s="112"/>
      <c r="C144" s="112"/>
      <c r="D144" s="112"/>
      <c r="J144" s="113"/>
    </row>
    <row r="145" ht="14.25" customHeight="1">
      <c r="A145" s="111"/>
      <c r="B145" s="112"/>
      <c r="C145" s="112"/>
      <c r="D145" s="112"/>
      <c r="J145" s="113"/>
    </row>
    <row r="146" ht="14.25" customHeight="1">
      <c r="A146" s="111"/>
      <c r="B146" s="112"/>
      <c r="C146" s="112"/>
      <c r="D146" s="112"/>
      <c r="J146" s="113"/>
    </row>
    <row r="147" ht="14.25" customHeight="1">
      <c r="A147" s="111"/>
      <c r="B147" s="112"/>
      <c r="C147" s="112"/>
      <c r="D147" s="112"/>
      <c r="J147" s="113"/>
    </row>
    <row r="148" ht="14.25" customHeight="1">
      <c r="A148" s="111"/>
      <c r="B148" s="112"/>
      <c r="C148" s="112"/>
      <c r="D148" s="112"/>
      <c r="J148" s="113"/>
    </row>
    <row r="149" ht="14.25" customHeight="1">
      <c r="A149" s="111"/>
      <c r="B149" s="112"/>
      <c r="C149" s="112"/>
      <c r="D149" s="112"/>
      <c r="J149" s="113"/>
    </row>
    <row r="150" ht="14.25" customHeight="1">
      <c r="A150" s="111"/>
      <c r="B150" s="112"/>
      <c r="C150" s="112"/>
      <c r="D150" s="112"/>
      <c r="J150" s="113"/>
    </row>
    <row r="151" ht="14.25" customHeight="1">
      <c r="A151" s="111"/>
      <c r="B151" s="112"/>
      <c r="C151" s="112"/>
      <c r="D151" s="112"/>
      <c r="J151" s="113"/>
    </row>
    <row r="152" ht="14.25" customHeight="1">
      <c r="A152" s="111"/>
      <c r="B152" s="112"/>
      <c r="C152" s="112"/>
      <c r="D152" s="112"/>
      <c r="J152" s="113"/>
    </row>
    <row r="153" ht="14.25" customHeight="1">
      <c r="A153" s="111"/>
      <c r="B153" s="112"/>
      <c r="C153" s="112"/>
      <c r="D153" s="112"/>
      <c r="J153" s="113"/>
    </row>
    <row r="154" ht="14.25" customHeight="1">
      <c r="A154" s="111"/>
      <c r="B154" s="112"/>
      <c r="C154" s="112"/>
      <c r="D154" s="112"/>
      <c r="J154" s="113"/>
    </row>
    <row r="155" ht="14.25" customHeight="1">
      <c r="A155" s="111"/>
      <c r="B155" s="112"/>
      <c r="C155" s="112"/>
      <c r="D155" s="112"/>
      <c r="J155" s="113"/>
    </row>
    <row r="156" ht="14.25" customHeight="1">
      <c r="A156" s="111"/>
      <c r="B156" s="112"/>
      <c r="C156" s="112"/>
      <c r="D156" s="112"/>
      <c r="J156" s="113"/>
    </row>
    <row r="157" ht="14.25" customHeight="1">
      <c r="A157" s="111"/>
      <c r="B157" s="112"/>
      <c r="C157" s="112"/>
      <c r="D157" s="112"/>
      <c r="J157" s="113"/>
    </row>
    <row r="158" ht="14.25" customHeight="1">
      <c r="A158" s="111"/>
      <c r="B158" s="112"/>
      <c r="C158" s="112"/>
      <c r="D158" s="112"/>
      <c r="J158" s="113"/>
    </row>
    <row r="159" ht="14.25" customHeight="1">
      <c r="A159" s="111"/>
      <c r="B159" s="112"/>
      <c r="C159" s="112"/>
      <c r="D159" s="112"/>
      <c r="J159" s="113"/>
    </row>
    <row r="160" ht="14.25" customHeight="1">
      <c r="A160" s="111"/>
      <c r="B160" s="112"/>
      <c r="C160" s="112"/>
      <c r="D160" s="112"/>
      <c r="J160" s="113"/>
    </row>
    <row r="161" ht="14.25" customHeight="1">
      <c r="A161" s="111"/>
      <c r="B161" s="112"/>
      <c r="C161" s="112"/>
      <c r="D161" s="112"/>
      <c r="J161" s="113"/>
    </row>
    <row r="162" ht="14.25" customHeight="1">
      <c r="A162" s="111"/>
      <c r="B162" s="112"/>
      <c r="C162" s="112"/>
      <c r="D162" s="112"/>
      <c r="J162" s="113"/>
    </row>
    <row r="163" ht="14.25" customHeight="1">
      <c r="A163" s="111"/>
      <c r="B163" s="112"/>
      <c r="C163" s="112"/>
      <c r="D163" s="112"/>
      <c r="J163" s="113"/>
    </row>
    <row r="164" ht="14.25" customHeight="1">
      <c r="A164" s="111"/>
      <c r="B164" s="112"/>
      <c r="C164" s="112"/>
      <c r="D164" s="112"/>
      <c r="J164" s="113"/>
    </row>
    <row r="165" ht="14.25" customHeight="1">
      <c r="A165" s="111"/>
      <c r="B165" s="112"/>
      <c r="C165" s="112"/>
      <c r="D165" s="112"/>
      <c r="J165" s="113"/>
    </row>
    <row r="166" ht="14.25" customHeight="1">
      <c r="A166" s="111"/>
      <c r="B166" s="112"/>
      <c r="C166" s="112"/>
      <c r="D166" s="112"/>
      <c r="J166" s="113"/>
    </row>
    <row r="167" ht="14.25" customHeight="1">
      <c r="A167" s="111"/>
      <c r="B167" s="112"/>
      <c r="C167" s="112"/>
      <c r="D167" s="112"/>
      <c r="J167" s="113"/>
    </row>
    <row r="168" ht="14.25" customHeight="1">
      <c r="A168" s="111"/>
      <c r="B168" s="112"/>
      <c r="C168" s="112"/>
      <c r="D168" s="112"/>
      <c r="J168" s="113"/>
    </row>
    <row r="169" ht="14.25" customHeight="1">
      <c r="A169" s="111"/>
      <c r="B169" s="112"/>
      <c r="C169" s="112"/>
      <c r="D169" s="112"/>
      <c r="J169" s="113"/>
    </row>
    <row r="170" ht="14.25" customHeight="1">
      <c r="A170" s="111"/>
      <c r="B170" s="112"/>
      <c r="C170" s="112"/>
      <c r="D170" s="112"/>
      <c r="J170" s="113"/>
    </row>
    <row r="171" ht="14.25" customHeight="1">
      <c r="A171" s="111"/>
      <c r="B171" s="112"/>
      <c r="C171" s="112"/>
      <c r="D171" s="112"/>
      <c r="J171" s="113"/>
    </row>
    <row r="172" ht="14.25" customHeight="1">
      <c r="A172" s="111"/>
      <c r="B172" s="112"/>
      <c r="C172" s="112"/>
      <c r="D172" s="112"/>
      <c r="J172" s="113"/>
    </row>
    <row r="173" ht="14.25" customHeight="1">
      <c r="A173" s="111"/>
      <c r="B173" s="112"/>
      <c r="C173" s="112"/>
      <c r="D173" s="112"/>
      <c r="J173" s="113"/>
    </row>
    <row r="174" ht="14.25" customHeight="1">
      <c r="A174" s="111"/>
      <c r="B174" s="112"/>
      <c r="C174" s="112"/>
      <c r="D174" s="112"/>
      <c r="J174" s="113"/>
    </row>
    <row r="175" ht="14.25" customHeight="1">
      <c r="A175" s="111"/>
      <c r="B175" s="112"/>
      <c r="C175" s="112"/>
      <c r="D175" s="112"/>
      <c r="J175" s="113"/>
    </row>
    <row r="176" ht="14.25" customHeight="1">
      <c r="A176" s="111"/>
      <c r="B176" s="112"/>
      <c r="C176" s="112"/>
      <c r="D176" s="112"/>
      <c r="J176" s="113"/>
    </row>
    <row r="177" ht="14.25" customHeight="1">
      <c r="A177" s="111"/>
      <c r="B177" s="112"/>
      <c r="C177" s="112"/>
      <c r="D177" s="112"/>
      <c r="J177" s="113"/>
    </row>
    <row r="178" ht="14.25" customHeight="1">
      <c r="A178" s="111"/>
      <c r="B178" s="112"/>
      <c r="C178" s="112"/>
      <c r="D178" s="112"/>
      <c r="J178" s="113"/>
    </row>
    <row r="179" ht="14.25" customHeight="1">
      <c r="A179" s="111"/>
      <c r="B179" s="112"/>
      <c r="C179" s="112"/>
      <c r="D179" s="112"/>
      <c r="J179" s="113"/>
    </row>
    <row r="180" ht="14.25" customHeight="1">
      <c r="A180" s="111"/>
      <c r="B180" s="112"/>
      <c r="C180" s="112"/>
      <c r="D180" s="112"/>
      <c r="J180" s="113"/>
    </row>
    <row r="181" ht="14.25" customHeight="1">
      <c r="A181" s="111"/>
      <c r="B181" s="112"/>
      <c r="C181" s="112"/>
      <c r="D181" s="112"/>
      <c r="J181" s="113"/>
    </row>
    <row r="182" ht="14.25" customHeight="1">
      <c r="A182" s="111"/>
      <c r="B182" s="112"/>
      <c r="C182" s="112"/>
      <c r="D182" s="112"/>
      <c r="J182" s="113"/>
    </row>
    <row r="183" ht="14.25" customHeight="1">
      <c r="A183" s="111"/>
      <c r="B183" s="112"/>
      <c r="C183" s="112"/>
      <c r="D183" s="112"/>
      <c r="J183" s="113"/>
    </row>
    <row r="184" ht="14.25" customHeight="1">
      <c r="A184" s="111"/>
      <c r="B184" s="112"/>
      <c r="C184" s="112"/>
      <c r="D184" s="112"/>
      <c r="J184" s="113"/>
    </row>
    <row r="185" ht="14.25" customHeight="1">
      <c r="A185" s="111"/>
      <c r="B185" s="112"/>
      <c r="C185" s="112"/>
      <c r="D185" s="112"/>
      <c r="J185" s="113"/>
    </row>
    <row r="186" ht="14.25" customHeight="1">
      <c r="A186" s="111"/>
      <c r="B186" s="112"/>
      <c r="C186" s="112"/>
      <c r="D186" s="112"/>
      <c r="J186" s="113"/>
    </row>
    <row r="187" ht="14.25" customHeight="1">
      <c r="A187" s="111"/>
      <c r="B187" s="112"/>
      <c r="C187" s="112"/>
      <c r="D187" s="112"/>
      <c r="J187" s="113"/>
    </row>
    <row r="188" ht="14.25" customHeight="1">
      <c r="A188" s="111"/>
      <c r="B188" s="112"/>
      <c r="C188" s="112"/>
      <c r="D188" s="112"/>
      <c r="J188" s="113"/>
    </row>
    <row r="189" ht="14.25" customHeight="1">
      <c r="A189" s="111"/>
      <c r="B189" s="112"/>
      <c r="C189" s="112"/>
      <c r="D189" s="112"/>
      <c r="J189" s="113"/>
    </row>
    <row r="190" ht="14.25" customHeight="1">
      <c r="A190" s="111"/>
      <c r="B190" s="112"/>
      <c r="C190" s="112"/>
      <c r="D190" s="112"/>
      <c r="J190" s="113"/>
    </row>
    <row r="191" ht="14.25" customHeight="1">
      <c r="A191" s="111"/>
      <c r="B191" s="112"/>
      <c r="C191" s="112"/>
      <c r="D191" s="112"/>
      <c r="J191" s="113"/>
    </row>
    <row r="192" ht="14.25" customHeight="1">
      <c r="A192" s="111"/>
      <c r="B192" s="112"/>
      <c r="C192" s="112"/>
      <c r="D192" s="112"/>
      <c r="J192" s="113"/>
    </row>
    <row r="193" ht="14.25" customHeight="1">
      <c r="A193" s="111"/>
      <c r="B193" s="112"/>
      <c r="C193" s="112"/>
      <c r="D193" s="112"/>
      <c r="J193" s="113"/>
    </row>
    <row r="194" ht="14.25" customHeight="1">
      <c r="A194" s="111"/>
      <c r="B194" s="112"/>
      <c r="C194" s="112"/>
      <c r="D194" s="112"/>
      <c r="J194" s="113"/>
    </row>
    <row r="195" ht="14.25" customHeight="1">
      <c r="A195" s="111"/>
      <c r="B195" s="112"/>
      <c r="C195" s="112"/>
      <c r="D195" s="112"/>
      <c r="J195" s="113"/>
    </row>
    <row r="196" ht="14.25" customHeight="1">
      <c r="A196" s="111"/>
      <c r="B196" s="112"/>
      <c r="C196" s="112"/>
      <c r="D196" s="112"/>
      <c r="J196" s="113"/>
    </row>
    <row r="197" ht="14.25" customHeight="1">
      <c r="A197" s="111"/>
      <c r="B197" s="112"/>
      <c r="C197" s="112"/>
      <c r="D197" s="112"/>
      <c r="J197" s="113"/>
    </row>
    <row r="198" ht="14.25" customHeight="1">
      <c r="A198" s="111"/>
      <c r="B198" s="112"/>
      <c r="C198" s="112"/>
      <c r="D198" s="112"/>
      <c r="J198" s="113"/>
    </row>
    <row r="199" ht="14.25" customHeight="1">
      <c r="A199" s="111"/>
      <c r="B199" s="112"/>
      <c r="C199" s="112"/>
      <c r="D199" s="112"/>
      <c r="J199" s="113"/>
    </row>
    <row r="200" ht="14.25" customHeight="1">
      <c r="A200" s="111"/>
      <c r="B200" s="112"/>
      <c r="C200" s="112"/>
      <c r="D200" s="112"/>
      <c r="J200" s="113"/>
    </row>
    <row r="201" ht="14.25" customHeight="1">
      <c r="A201" s="111"/>
      <c r="B201" s="112"/>
      <c r="C201" s="112"/>
      <c r="D201" s="112"/>
      <c r="J201" s="113"/>
    </row>
    <row r="202" ht="14.25" customHeight="1">
      <c r="A202" s="111"/>
      <c r="B202" s="112"/>
      <c r="C202" s="112"/>
      <c r="D202" s="112"/>
      <c r="J202" s="113"/>
    </row>
    <row r="203" ht="14.25" customHeight="1">
      <c r="A203" s="111"/>
      <c r="B203" s="112"/>
      <c r="C203" s="112"/>
      <c r="D203" s="112"/>
      <c r="J203" s="113"/>
    </row>
    <row r="204" ht="14.25" customHeight="1">
      <c r="A204" s="111"/>
      <c r="B204" s="112"/>
      <c r="C204" s="112"/>
      <c r="D204" s="112"/>
      <c r="J204" s="113"/>
    </row>
    <row r="205" ht="14.25" customHeight="1">
      <c r="A205" s="111"/>
      <c r="B205" s="112"/>
      <c r="C205" s="112"/>
      <c r="D205" s="112"/>
      <c r="J205" s="113"/>
    </row>
    <row r="206" ht="14.25" customHeight="1">
      <c r="A206" s="111"/>
      <c r="B206" s="112"/>
      <c r="C206" s="112"/>
      <c r="D206" s="112"/>
      <c r="J206" s="113"/>
    </row>
    <row r="207" ht="14.25" customHeight="1">
      <c r="A207" s="111"/>
      <c r="B207" s="112"/>
      <c r="C207" s="112"/>
      <c r="D207" s="112"/>
      <c r="J207" s="113"/>
    </row>
    <row r="208" ht="14.25" customHeight="1">
      <c r="A208" s="111"/>
      <c r="B208" s="112"/>
      <c r="C208" s="112"/>
      <c r="D208" s="112"/>
      <c r="J208" s="113"/>
    </row>
    <row r="209" ht="14.25" customHeight="1">
      <c r="A209" s="111"/>
      <c r="B209" s="112"/>
      <c r="C209" s="112"/>
      <c r="D209" s="112"/>
      <c r="J209" s="113"/>
    </row>
    <row r="210" ht="14.25" customHeight="1">
      <c r="A210" s="111"/>
      <c r="B210" s="112"/>
      <c r="C210" s="112"/>
      <c r="D210" s="112"/>
      <c r="J210" s="113"/>
    </row>
    <row r="211" ht="14.25" customHeight="1">
      <c r="A211" s="111"/>
      <c r="B211" s="112"/>
      <c r="C211" s="112"/>
      <c r="D211" s="112"/>
      <c r="J211" s="113"/>
    </row>
    <row r="212" ht="14.25" customHeight="1">
      <c r="A212" s="111"/>
      <c r="B212" s="112"/>
      <c r="C212" s="112"/>
      <c r="D212" s="112"/>
      <c r="J212" s="113"/>
    </row>
    <row r="213" ht="14.25" customHeight="1">
      <c r="A213" s="111"/>
      <c r="B213" s="112"/>
      <c r="C213" s="112"/>
      <c r="D213" s="112"/>
      <c r="J213" s="113"/>
    </row>
    <row r="214" ht="14.25" customHeight="1">
      <c r="A214" s="111"/>
      <c r="B214" s="112"/>
      <c r="C214" s="112"/>
      <c r="D214" s="112"/>
      <c r="J214" s="113"/>
    </row>
    <row r="215" ht="14.25" customHeight="1">
      <c r="A215" s="111"/>
      <c r="B215" s="112"/>
      <c r="C215" s="112"/>
      <c r="D215" s="112"/>
      <c r="J215" s="113"/>
    </row>
    <row r="216" ht="14.25" customHeight="1">
      <c r="A216" s="111"/>
      <c r="B216" s="112"/>
      <c r="C216" s="112"/>
      <c r="D216" s="112"/>
      <c r="J216" s="113"/>
    </row>
    <row r="217" ht="14.25" customHeight="1">
      <c r="A217" s="111"/>
      <c r="B217" s="112"/>
      <c r="C217" s="112"/>
      <c r="D217" s="112"/>
      <c r="J217" s="113"/>
    </row>
    <row r="218" ht="14.25" customHeight="1">
      <c r="A218" s="111"/>
      <c r="B218" s="112"/>
      <c r="C218" s="112"/>
      <c r="D218" s="112"/>
      <c r="J218" s="113"/>
    </row>
    <row r="219" ht="14.25" customHeight="1">
      <c r="A219" s="111"/>
      <c r="B219" s="112"/>
      <c r="C219" s="112"/>
      <c r="D219" s="112"/>
      <c r="J219" s="113"/>
    </row>
    <row r="220" ht="14.25" customHeight="1">
      <c r="A220" s="111"/>
      <c r="B220" s="112"/>
      <c r="C220" s="112"/>
      <c r="D220" s="112"/>
      <c r="J220" s="113"/>
    </row>
    <row r="221" ht="14.25" customHeight="1">
      <c r="A221" s="111"/>
      <c r="B221" s="112"/>
      <c r="C221" s="112"/>
      <c r="D221" s="112"/>
      <c r="J221" s="113"/>
    </row>
    <row r="222" ht="14.25" customHeight="1">
      <c r="A222" s="111"/>
      <c r="B222" s="112"/>
      <c r="C222" s="112"/>
      <c r="D222" s="112"/>
      <c r="J222" s="113"/>
    </row>
    <row r="223" ht="14.25" customHeight="1">
      <c r="A223" s="111"/>
      <c r="B223" s="112"/>
      <c r="C223" s="112"/>
      <c r="D223" s="112"/>
      <c r="J223" s="113"/>
    </row>
    <row r="224" ht="14.25" customHeight="1">
      <c r="A224" s="111"/>
      <c r="B224" s="112"/>
      <c r="C224" s="112"/>
      <c r="D224" s="112"/>
      <c r="J224" s="113"/>
    </row>
    <row r="225" ht="14.25" customHeight="1">
      <c r="A225" s="111"/>
      <c r="B225" s="112"/>
      <c r="C225" s="112"/>
      <c r="D225" s="112"/>
      <c r="J225" s="113"/>
    </row>
    <row r="226" ht="14.25" customHeight="1">
      <c r="A226" s="111"/>
      <c r="B226" s="112"/>
      <c r="C226" s="112"/>
      <c r="D226" s="112"/>
      <c r="J226" s="113"/>
    </row>
    <row r="227" ht="14.25" customHeight="1">
      <c r="A227" s="111"/>
      <c r="B227" s="112"/>
      <c r="C227" s="112"/>
      <c r="D227" s="112"/>
      <c r="J227" s="113"/>
    </row>
    <row r="228" ht="14.25" customHeight="1">
      <c r="A228" s="111"/>
      <c r="B228" s="112"/>
      <c r="C228" s="112"/>
      <c r="D228" s="112"/>
      <c r="J228" s="113"/>
    </row>
    <row r="229" ht="14.25" customHeight="1">
      <c r="A229" s="111"/>
      <c r="B229" s="112"/>
      <c r="C229" s="112"/>
      <c r="D229" s="112"/>
      <c r="J229" s="113"/>
    </row>
    <row r="230" ht="14.25" customHeight="1">
      <c r="A230" s="111"/>
      <c r="B230" s="112"/>
      <c r="C230" s="112"/>
      <c r="D230" s="112"/>
      <c r="J230" s="113"/>
    </row>
    <row r="231" ht="14.25" customHeight="1">
      <c r="A231" s="111"/>
      <c r="B231" s="112"/>
      <c r="C231" s="112"/>
      <c r="D231" s="112"/>
      <c r="J231" s="113"/>
    </row>
    <row r="232" ht="14.25" customHeight="1">
      <c r="A232" s="111"/>
      <c r="B232" s="112"/>
      <c r="C232" s="112"/>
      <c r="D232" s="112"/>
      <c r="J232" s="113"/>
    </row>
    <row r="233" ht="14.25" customHeight="1">
      <c r="A233" s="111"/>
      <c r="B233" s="112"/>
      <c r="C233" s="112"/>
      <c r="D233" s="112"/>
      <c r="J233" s="113"/>
    </row>
    <row r="234" ht="14.25" customHeight="1">
      <c r="A234" s="111"/>
      <c r="B234" s="112"/>
      <c r="C234" s="112"/>
      <c r="D234" s="112"/>
      <c r="J234" s="113"/>
    </row>
    <row r="235" ht="14.25" customHeight="1">
      <c r="A235" s="111"/>
      <c r="B235" s="112"/>
      <c r="C235" s="112"/>
      <c r="D235" s="112"/>
      <c r="J235" s="113"/>
    </row>
    <row r="236" ht="14.25" customHeight="1">
      <c r="A236" s="111"/>
      <c r="B236" s="112"/>
      <c r="C236" s="112"/>
      <c r="D236" s="112"/>
      <c r="J236" s="113"/>
    </row>
    <row r="237" ht="14.25" customHeight="1">
      <c r="A237" s="111"/>
      <c r="B237" s="112"/>
      <c r="C237" s="112"/>
      <c r="D237" s="112"/>
      <c r="J237" s="113"/>
    </row>
    <row r="238" ht="14.25" customHeight="1">
      <c r="A238" s="111"/>
      <c r="B238" s="112"/>
      <c r="C238" s="112"/>
      <c r="D238" s="112"/>
      <c r="J238" s="113"/>
    </row>
    <row r="239" ht="14.25" customHeight="1">
      <c r="A239" s="111"/>
      <c r="B239" s="112"/>
      <c r="C239" s="112"/>
      <c r="D239" s="112"/>
      <c r="J239" s="113"/>
    </row>
    <row r="240" ht="14.25" customHeight="1">
      <c r="A240" s="111"/>
      <c r="B240" s="112"/>
      <c r="C240" s="112"/>
      <c r="D240" s="112"/>
      <c r="J240" s="113"/>
    </row>
    <row r="241" ht="14.25" customHeight="1">
      <c r="A241" s="111"/>
      <c r="B241" s="112"/>
      <c r="C241" s="112"/>
      <c r="D241" s="112"/>
      <c r="J241" s="113"/>
    </row>
    <row r="242" ht="14.25" customHeight="1">
      <c r="A242" s="111"/>
      <c r="B242" s="112"/>
      <c r="C242" s="112"/>
      <c r="D242" s="112"/>
      <c r="J242" s="113"/>
    </row>
    <row r="243" ht="14.25" customHeight="1">
      <c r="A243" s="111"/>
      <c r="B243" s="112"/>
      <c r="C243" s="112"/>
      <c r="D243" s="112"/>
      <c r="J243" s="113"/>
    </row>
    <row r="244" ht="14.25" customHeight="1">
      <c r="A244" s="111"/>
      <c r="B244" s="112"/>
      <c r="C244" s="112"/>
      <c r="D244" s="112"/>
      <c r="J244" s="113"/>
    </row>
    <row r="245" ht="14.25" customHeight="1">
      <c r="A245" s="111"/>
      <c r="B245" s="112"/>
      <c r="C245" s="112"/>
      <c r="D245" s="112"/>
      <c r="J245" s="113"/>
    </row>
    <row r="246" ht="14.25" customHeight="1">
      <c r="A246" s="111"/>
      <c r="B246" s="112"/>
      <c r="C246" s="112"/>
      <c r="D246" s="112"/>
      <c r="J246" s="113"/>
    </row>
    <row r="247" ht="14.25" customHeight="1">
      <c r="A247" s="111"/>
      <c r="B247" s="112"/>
      <c r="C247" s="112"/>
      <c r="D247" s="112"/>
      <c r="J247" s="113"/>
    </row>
    <row r="248" ht="14.25" customHeight="1">
      <c r="A248" s="111"/>
      <c r="B248" s="112"/>
      <c r="C248" s="112"/>
      <c r="D248" s="112"/>
      <c r="J248" s="113"/>
    </row>
    <row r="249" ht="14.25" customHeight="1">
      <c r="A249" s="111"/>
      <c r="B249" s="112"/>
      <c r="C249" s="112"/>
      <c r="D249" s="112"/>
      <c r="J249" s="113"/>
    </row>
    <row r="250" ht="14.25" customHeight="1">
      <c r="A250" s="111"/>
      <c r="B250" s="112"/>
      <c r="C250" s="112"/>
      <c r="D250" s="112"/>
      <c r="J250" s="113"/>
    </row>
    <row r="251" ht="14.25" customHeight="1">
      <c r="A251" s="111"/>
      <c r="B251" s="112"/>
      <c r="C251" s="112"/>
      <c r="D251" s="112"/>
      <c r="J251" s="113"/>
    </row>
    <row r="252" ht="14.25" customHeight="1">
      <c r="A252" s="111"/>
      <c r="B252" s="112"/>
      <c r="C252" s="112"/>
      <c r="D252" s="112"/>
      <c r="J252" s="113"/>
    </row>
    <row r="253" ht="14.25" customHeight="1">
      <c r="A253" s="111"/>
      <c r="B253" s="112"/>
      <c r="C253" s="112"/>
      <c r="D253" s="112"/>
      <c r="J253" s="113"/>
    </row>
    <row r="254" ht="14.25" customHeight="1">
      <c r="A254" s="111"/>
      <c r="B254" s="112"/>
      <c r="C254" s="112"/>
      <c r="D254" s="112"/>
      <c r="J254" s="113"/>
    </row>
    <row r="255" ht="14.25" customHeight="1">
      <c r="A255" s="111"/>
      <c r="B255" s="112"/>
      <c r="C255" s="112"/>
      <c r="D255" s="112"/>
      <c r="J255" s="113"/>
    </row>
    <row r="256" ht="14.25" customHeight="1">
      <c r="A256" s="111"/>
      <c r="B256" s="112"/>
      <c r="C256" s="112"/>
      <c r="D256" s="112"/>
      <c r="J256" s="113"/>
    </row>
    <row r="257" ht="14.25" customHeight="1">
      <c r="A257" s="111"/>
      <c r="B257" s="112"/>
      <c r="C257" s="112"/>
      <c r="D257" s="112"/>
      <c r="J257" s="113"/>
    </row>
    <row r="258" ht="14.25" customHeight="1">
      <c r="A258" s="111"/>
      <c r="B258" s="112"/>
      <c r="C258" s="112"/>
      <c r="D258" s="112"/>
      <c r="J258" s="113"/>
    </row>
    <row r="259" ht="14.25" customHeight="1">
      <c r="A259" s="111"/>
      <c r="B259" s="112"/>
      <c r="C259" s="112"/>
      <c r="D259" s="112"/>
      <c r="J259" s="113"/>
    </row>
    <row r="260" ht="14.25" customHeight="1">
      <c r="A260" s="111"/>
      <c r="B260" s="112"/>
      <c r="C260" s="112"/>
      <c r="D260" s="112"/>
      <c r="J260" s="113"/>
    </row>
    <row r="261" ht="14.25" customHeight="1">
      <c r="A261" s="111"/>
      <c r="B261" s="112"/>
      <c r="C261" s="112"/>
      <c r="D261" s="112"/>
      <c r="J261" s="113"/>
    </row>
    <row r="262" ht="14.25" customHeight="1">
      <c r="A262" s="111"/>
      <c r="B262" s="112"/>
      <c r="C262" s="112"/>
      <c r="D262" s="112"/>
      <c r="J262" s="113"/>
    </row>
    <row r="263" ht="14.25" customHeight="1">
      <c r="A263" s="111"/>
      <c r="B263" s="112"/>
      <c r="C263" s="112"/>
      <c r="D263" s="112"/>
      <c r="J263" s="113"/>
    </row>
    <row r="264" ht="14.25" customHeight="1">
      <c r="A264" s="111"/>
      <c r="B264" s="112"/>
      <c r="C264" s="112"/>
      <c r="D264" s="112"/>
      <c r="J264" s="113"/>
    </row>
    <row r="265" ht="14.25" customHeight="1">
      <c r="A265" s="111"/>
      <c r="B265" s="112"/>
      <c r="C265" s="112"/>
      <c r="D265" s="112"/>
      <c r="J265" s="113"/>
    </row>
    <row r="266" ht="14.25" customHeight="1">
      <c r="A266" s="111"/>
      <c r="B266" s="112"/>
      <c r="C266" s="112"/>
      <c r="D266" s="112"/>
      <c r="J266" s="113"/>
    </row>
    <row r="267" ht="14.25" customHeight="1">
      <c r="A267" s="111"/>
      <c r="B267" s="112"/>
      <c r="C267" s="112"/>
      <c r="D267" s="112"/>
      <c r="J267" s="113"/>
    </row>
    <row r="268" ht="14.25" customHeight="1">
      <c r="A268" s="111"/>
      <c r="B268" s="112"/>
      <c r="C268" s="112"/>
      <c r="D268" s="112"/>
      <c r="J268" s="113"/>
    </row>
    <row r="269" ht="14.25" customHeight="1">
      <c r="A269" s="111"/>
      <c r="B269" s="112"/>
      <c r="C269" s="112"/>
      <c r="D269" s="112"/>
      <c r="J269" s="113"/>
    </row>
    <row r="270" ht="14.25" customHeight="1">
      <c r="A270" s="111"/>
      <c r="B270" s="112"/>
      <c r="C270" s="112"/>
      <c r="D270" s="112"/>
      <c r="J270" s="113"/>
    </row>
    <row r="271" ht="14.25" customHeight="1">
      <c r="A271" s="111"/>
      <c r="B271" s="112"/>
      <c r="C271" s="112"/>
      <c r="D271" s="112"/>
      <c r="J271" s="113"/>
    </row>
    <row r="272" ht="14.25" customHeight="1">
      <c r="A272" s="111"/>
      <c r="B272" s="112"/>
      <c r="C272" s="112"/>
      <c r="D272" s="112"/>
      <c r="J272" s="113"/>
    </row>
    <row r="273" ht="14.25" customHeight="1">
      <c r="A273" s="111"/>
      <c r="B273" s="112"/>
      <c r="C273" s="112"/>
      <c r="D273" s="112"/>
      <c r="J273" s="113"/>
    </row>
    <row r="274" ht="14.25" customHeight="1">
      <c r="A274" s="111"/>
      <c r="B274" s="112"/>
      <c r="C274" s="112"/>
      <c r="D274" s="112"/>
      <c r="J274" s="113"/>
    </row>
    <row r="275" ht="14.25" customHeight="1">
      <c r="A275" s="111"/>
      <c r="B275" s="112"/>
      <c r="C275" s="112"/>
      <c r="D275" s="112"/>
      <c r="J275" s="113"/>
    </row>
    <row r="276" ht="14.25" customHeight="1">
      <c r="A276" s="111"/>
      <c r="B276" s="112"/>
      <c r="C276" s="112"/>
      <c r="D276" s="112"/>
      <c r="J276" s="113"/>
    </row>
    <row r="277" ht="14.25" customHeight="1">
      <c r="A277" s="111"/>
      <c r="B277" s="112"/>
      <c r="C277" s="112"/>
      <c r="D277" s="112"/>
      <c r="J277" s="113"/>
    </row>
    <row r="278" ht="14.25" customHeight="1">
      <c r="A278" s="111"/>
      <c r="B278" s="112"/>
      <c r="C278" s="112"/>
      <c r="D278" s="112"/>
      <c r="J278" s="113"/>
    </row>
    <row r="279" ht="15.75" customHeight="1">
      <c r="B279" s="35"/>
      <c r="C279" s="35"/>
      <c r="D279" s="35"/>
    </row>
    <row r="280" ht="15.75" customHeight="1">
      <c r="B280" s="35"/>
      <c r="C280" s="35"/>
      <c r="D280" s="35"/>
    </row>
    <row r="281" ht="15.75" customHeight="1">
      <c r="B281" s="35"/>
      <c r="C281" s="35"/>
      <c r="D281" s="35"/>
    </row>
    <row r="282" ht="15.75" customHeight="1">
      <c r="B282" s="35"/>
      <c r="C282" s="35"/>
      <c r="D282" s="35"/>
    </row>
    <row r="283" ht="15.75" customHeight="1">
      <c r="B283" s="35"/>
      <c r="C283" s="35"/>
      <c r="D283" s="35"/>
    </row>
    <row r="284" ht="15.75" customHeight="1">
      <c r="B284" s="35"/>
      <c r="C284" s="35"/>
      <c r="D284" s="35"/>
    </row>
    <row r="285" ht="15.75" customHeight="1">
      <c r="B285" s="35"/>
      <c r="C285" s="35"/>
      <c r="D285" s="35"/>
    </row>
    <row r="286" ht="15.75" customHeight="1">
      <c r="B286" s="35"/>
      <c r="C286" s="35"/>
      <c r="D286" s="35"/>
    </row>
    <row r="287" ht="15.75" customHeight="1">
      <c r="B287" s="35"/>
      <c r="C287" s="35"/>
      <c r="D287" s="35"/>
    </row>
    <row r="288" ht="15.75" customHeight="1">
      <c r="B288" s="35"/>
      <c r="C288" s="35"/>
      <c r="D288" s="35"/>
    </row>
    <row r="289" ht="15.75" customHeight="1">
      <c r="B289" s="35"/>
      <c r="C289" s="35"/>
      <c r="D289" s="35"/>
    </row>
    <row r="290" ht="15.75" customHeight="1">
      <c r="B290" s="35"/>
      <c r="C290" s="35"/>
      <c r="D290" s="35"/>
    </row>
    <row r="291" ht="15.75" customHeight="1">
      <c r="B291" s="35"/>
      <c r="C291" s="35"/>
      <c r="D291" s="35"/>
    </row>
    <row r="292" ht="15.75" customHeight="1">
      <c r="B292" s="35"/>
      <c r="C292" s="35"/>
      <c r="D292" s="35"/>
    </row>
    <row r="293" ht="15.75" customHeight="1">
      <c r="B293" s="35"/>
      <c r="C293" s="35"/>
      <c r="D293" s="35"/>
    </row>
    <row r="294" ht="15.75" customHeight="1">
      <c r="B294" s="35"/>
      <c r="C294" s="35"/>
      <c r="D294" s="35"/>
    </row>
    <row r="295" ht="15.75" customHeight="1">
      <c r="B295" s="35"/>
      <c r="C295" s="35"/>
      <c r="D295" s="35"/>
    </row>
    <row r="296" ht="15.75" customHeight="1">
      <c r="B296" s="35"/>
      <c r="C296" s="35"/>
      <c r="D296" s="35"/>
    </row>
    <row r="297" ht="15.75" customHeight="1">
      <c r="B297" s="35"/>
      <c r="C297" s="35"/>
      <c r="D297" s="35"/>
    </row>
    <row r="298" ht="15.75" customHeight="1">
      <c r="B298" s="35"/>
      <c r="C298" s="35"/>
      <c r="D298" s="35"/>
    </row>
    <row r="299" ht="15.75" customHeight="1">
      <c r="B299" s="35"/>
      <c r="C299" s="35"/>
      <c r="D299" s="35"/>
    </row>
    <row r="300" ht="15.75" customHeight="1">
      <c r="B300" s="35"/>
      <c r="C300" s="35"/>
      <c r="D300" s="35"/>
    </row>
    <row r="301" ht="15.75" customHeight="1">
      <c r="B301" s="35"/>
      <c r="C301" s="35"/>
      <c r="D301" s="35"/>
    </row>
    <row r="302" ht="15.75" customHeight="1">
      <c r="B302" s="35"/>
      <c r="C302" s="35"/>
      <c r="D302" s="35"/>
    </row>
    <row r="303" ht="15.75" customHeight="1">
      <c r="B303" s="35"/>
      <c r="C303" s="35"/>
      <c r="D303" s="35"/>
    </row>
    <row r="304" ht="15.75" customHeight="1">
      <c r="B304" s="35"/>
      <c r="C304" s="35"/>
      <c r="D304" s="35"/>
    </row>
    <row r="305" ht="15.75" customHeight="1">
      <c r="B305" s="35"/>
      <c r="C305" s="35"/>
      <c r="D305" s="35"/>
    </row>
    <row r="306" ht="15.75" customHeight="1">
      <c r="B306" s="35"/>
      <c r="C306" s="35"/>
      <c r="D306" s="35"/>
    </row>
    <row r="307" ht="15.75" customHeight="1">
      <c r="B307" s="35"/>
      <c r="C307" s="35"/>
      <c r="D307" s="35"/>
    </row>
    <row r="308" ht="15.75" customHeight="1">
      <c r="B308" s="35"/>
      <c r="C308" s="35"/>
      <c r="D308" s="35"/>
    </row>
    <row r="309" ht="15.75" customHeight="1">
      <c r="B309" s="35"/>
      <c r="C309" s="35"/>
      <c r="D309" s="35"/>
    </row>
    <row r="310" ht="15.75" customHeight="1">
      <c r="B310" s="35"/>
      <c r="C310" s="35"/>
      <c r="D310" s="35"/>
    </row>
    <row r="311" ht="15.75" customHeight="1">
      <c r="B311" s="35"/>
      <c r="C311" s="35"/>
      <c r="D311" s="35"/>
    </row>
    <row r="312" ht="15.75" customHeight="1">
      <c r="B312" s="35"/>
      <c r="C312" s="35"/>
      <c r="D312" s="35"/>
    </row>
    <row r="313" ht="15.75" customHeight="1">
      <c r="B313" s="35"/>
      <c r="C313" s="35"/>
      <c r="D313" s="35"/>
    </row>
    <row r="314" ht="15.75" customHeight="1">
      <c r="B314" s="35"/>
      <c r="C314" s="35"/>
      <c r="D314" s="35"/>
    </row>
    <row r="315" ht="15.75" customHeight="1">
      <c r="B315" s="35"/>
      <c r="C315" s="35"/>
      <c r="D315" s="35"/>
    </row>
    <row r="316" ht="15.75" customHeight="1">
      <c r="B316" s="35"/>
      <c r="C316" s="35"/>
      <c r="D316" s="35"/>
    </row>
    <row r="317" ht="15.75" customHeight="1">
      <c r="B317" s="35"/>
      <c r="C317" s="35"/>
      <c r="D317" s="35"/>
    </row>
    <row r="318" ht="15.75" customHeight="1">
      <c r="B318" s="35"/>
      <c r="C318" s="35"/>
      <c r="D318" s="35"/>
    </row>
    <row r="319" ht="15.75" customHeight="1">
      <c r="B319" s="35"/>
      <c r="C319" s="35"/>
      <c r="D319" s="35"/>
    </row>
    <row r="320" ht="15.75" customHeight="1">
      <c r="B320" s="35"/>
      <c r="C320" s="35"/>
      <c r="D320" s="35"/>
    </row>
    <row r="321" ht="15.75" customHeight="1">
      <c r="B321" s="35"/>
      <c r="C321" s="35"/>
      <c r="D321" s="35"/>
    </row>
    <row r="322" ht="15.75" customHeight="1">
      <c r="B322" s="35"/>
      <c r="C322" s="35"/>
      <c r="D322" s="35"/>
    </row>
    <row r="323" ht="15.75" customHeight="1">
      <c r="B323" s="35"/>
      <c r="C323" s="35"/>
      <c r="D323" s="35"/>
    </row>
    <row r="324" ht="15.75" customHeight="1">
      <c r="B324" s="35"/>
      <c r="C324" s="35"/>
      <c r="D324" s="35"/>
    </row>
    <row r="325" ht="15.75" customHeight="1">
      <c r="B325" s="35"/>
      <c r="C325" s="35"/>
      <c r="D325" s="35"/>
    </row>
    <row r="326" ht="15.75" customHeight="1">
      <c r="B326" s="35"/>
      <c r="C326" s="35"/>
      <c r="D326" s="35"/>
    </row>
    <row r="327" ht="15.75" customHeight="1">
      <c r="B327" s="35"/>
      <c r="C327" s="35"/>
      <c r="D327" s="35"/>
    </row>
    <row r="328" ht="15.75" customHeight="1">
      <c r="B328" s="35"/>
      <c r="C328" s="35"/>
      <c r="D328" s="35"/>
    </row>
    <row r="329" ht="15.75" customHeight="1">
      <c r="B329" s="35"/>
      <c r="C329" s="35"/>
      <c r="D329" s="35"/>
    </row>
    <row r="330" ht="15.75" customHeight="1">
      <c r="B330" s="35"/>
      <c r="C330" s="35"/>
      <c r="D330" s="35"/>
    </row>
    <row r="331" ht="15.75" customHeight="1">
      <c r="B331" s="35"/>
      <c r="C331" s="35"/>
      <c r="D331" s="35"/>
    </row>
    <row r="332" ht="15.75" customHeight="1">
      <c r="B332" s="35"/>
      <c r="C332" s="35"/>
      <c r="D332" s="35"/>
    </row>
    <row r="333" ht="15.75" customHeight="1">
      <c r="B333" s="35"/>
      <c r="C333" s="35"/>
      <c r="D333" s="35"/>
    </row>
    <row r="334" ht="15.75" customHeight="1">
      <c r="B334" s="35"/>
      <c r="C334" s="35"/>
      <c r="D334" s="35"/>
    </row>
    <row r="335" ht="15.75" customHeight="1">
      <c r="B335" s="35"/>
      <c r="C335" s="35"/>
      <c r="D335" s="35"/>
    </row>
    <row r="336" ht="15.75" customHeight="1">
      <c r="B336" s="35"/>
      <c r="C336" s="35"/>
      <c r="D336" s="35"/>
    </row>
    <row r="337" ht="15.75" customHeight="1">
      <c r="B337" s="35"/>
      <c r="C337" s="35"/>
      <c r="D337" s="35"/>
    </row>
    <row r="338" ht="15.75" customHeight="1">
      <c r="B338" s="35"/>
      <c r="C338" s="35"/>
      <c r="D338" s="35"/>
    </row>
    <row r="339" ht="15.75" customHeight="1">
      <c r="B339" s="35"/>
      <c r="C339" s="35"/>
      <c r="D339" s="35"/>
    </row>
    <row r="340" ht="15.75" customHeight="1">
      <c r="B340" s="35"/>
      <c r="C340" s="35"/>
      <c r="D340" s="35"/>
    </row>
    <row r="341" ht="15.75" customHeight="1">
      <c r="B341" s="35"/>
      <c r="C341" s="35"/>
      <c r="D341" s="35"/>
    </row>
    <row r="342" ht="15.75" customHeight="1">
      <c r="B342" s="35"/>
      <c r="C342" s="35"/>
      <c r="D342" s="35"/>
    </row>
    <row r="343" ht="15.75" customHeight="1">
      <c r="B343" s="35"/>
      <c r="C343" s="35"/>
      <c r="D343" s="35"/>
    </row>
    <row r="344" ht="15.75" customHeight="1">
      <c r="B344" s="35"/>
      <c r="C344" s="35"/>
      <c r="D344" s="35"/>
    </row>
    <row r="345" ht="15.75" customHeight="1">
      <c r="B345" s="35"/>
      <c r="C345" s="35"/>
      <c r="D345" s="35"/>
    </row>
    <row r="346" ht="15.75" customHeight="1">
      <c r="B346" s="35"/>
      <c r="C346" s="35"/>
      <c r="D346" s="35"/>
    </row>
    <row r="347" ht="15.75" customHeight="1">
      <c r="B347" s="35"/>
      <c r="C347" s="35"/>
      <c r="D347" s="35"/>
    </row>
    <row r="348" ht="15.75" customHeight="1">
      <c r="B348" s="35"/>
      <c r="C348" s="35"/>
      <c r="D348" s="35"/>
    </row>
    <row r="349" ht="15.75" customHeight="1">
      <c r="B349" s="35"/>
      <c r="C349" s="35"/>
      <c r="D349" s="35"/>
    </row>
    <row r="350" ht="15.75" customHeight="1">
      <c r="B350" s="35"/>
      <c r="C350" s="35"/>
      <c r="D350" s="35"/>
    </row>
    <row r="351" ht="15.75" customHeight="1">
      <c r="B351" s="35"/>
      <c r="C351" s="35"/>
      <c r="D351" s="35"/>
    </row>
    <row r="352" ht="15.75" customHeight="1">
      <c r="B352" s="35"/>
      <c r="C352" s="35"/>
      <c r="D352" s="35"/>
    </row>
    <row r="353" ht="15.75" customHeight="1">
      <c r="B353" s="35"/>
      <c r="C353" s="35"/>
      <c r="D353" s="35"/>
    </row>
    <row r="354" ht="15.75" customHeight="1">
      <c r="B354" s="35"/>
      <c r="C354" s="35"/>
      <c r="D354" s="35"/>
    </row>
    <row r="355" ht="15.75" customHeight="1">
      <c r="B355" s="35"/>
      <c r="C355" s="35"/>
      <c r="D355" s="35"/>
    </row>
    <row r="356" ht="15.75" customHeight="1">
      <c r="B356" s="35"/>
      <c r="C356" s="35"/>
      <c r="D356" s="35"/>
    </row>
    <row r="357" ht="15.75" customHeight="1">
      <c r="B357" s="35"/>
      <c r="C357" s="35"/>
      <c r="D357" s="35"/>
    </row>
    <row r="358" ht="15.75" customHeight="1">
      <c r="B358" s="35"/>
      <c r="C358" s="35"/>
      <c r="D358" s="35"/>
    </row>
    <row r="359" ht="15.75" customHeight="1">
      <c r="B359" s="35"/>
      <c r="C359" s="35"/>
      <c r="D359" s="35"/>
    </row>
    <row r="360" ht="15.75" customHeight="1">
      <c r="B360" s="35"/>
      <c r="C360" s="35"/>
      <c r="D360" s="35"/>
    </row>
    <row r="361" ht="15.75" customHeight="1">
      <c r="B361" s="35"/>
      <c r="C361" s="35"/>
      <c r="D361" s="35"/>
    </row>
    <row r="362" ht="15.75" customHeight="1">
      <c r="B362" s="35"/>
      <c r="C362" s="35"/>
      <c r="D362" s="35"/>
    </row>
    <row r="363" ht="15.75" customHeight="1">
      <c r="B363" s="35"/>
      <c r="C363" s="35"/>
      <c r="D363" s="35"/>
    </row>
    <row r="364" ht="15.75" customHeight="1">
      <c r="B364" s="35"/>
      <c r="C364" s="35"/>
      <c r="D364" s="35"/>
    </row>
    <row r="365" ht="15.75" customHeight="1">
      <c r="B365" s="35"/>
      <c r="C365" s="35"/>
      <c r="D365" s="35"/>
    </row>
    <row r="366" ht="15.75" customHeight="1">
      <c r="B366" s="35"/>
      <c r="C366" s="35"/>
      <c r="D366" s="35"/>
    </row>
    <row r="367" ht="15.75" customHeight="1">
      <c r="B367" s="35"/>
      <c r="C367" s="35"/>
      <c r="D367" s="35"/>
    </row>
    <row r="368" ht="15.75" customHeight="1">
      <c r="B368" s="35"/>
      <c r="C368" s="35"/>
      <c r="D368" s="35"/>
    </row>
    <row r="369" ht="15.75" customHeight="1">
      <c r="B369" s="35"/>
      <c r="C369" s="35"/>
      <c r="D369" s="35"/>
    </row>
    <row r="370" ht="15.75" customHeight="1">
      <c r="B370" s="35"/>
      <c r="C370" s="35"/>
      <c r="D370" s="35"/>
    </row>
    <row r="371" ht="15.75" customHeight="1">
      <c r="B371" s="35"/>
      <c r="C371" s="35"/>
      <c r="D371" s="35"/>
    </row>
    <row r="372" ht="15.75" customHeight="1">
      <c r="B372" s="35"/>
      <c r="C372" s="35"/>
      <c r="D372" s="35"/>
    </row>
    <row r="373" ht="15.75" customHeight="1">
      <c r="B373" s="35"/>
      <c r="C373" s="35"/>
      <c r="D373" s="35"/>
    </row>
    <row r="374" ht="15.75" customHeight="1">
      <c r="B374" s="35"/>
      <c r="C374" s="35"/>
      <c r="D374" s="35"/>
    </row>
    <row r="375" ht="15.75" customHeight="1">
      <c r="B375" s="35"/>
      <c r="C375" s="35"/>
      <c r="D375" s="35"/>
    </row>
    <row r="376" ht="15.75" customHeight="1">
      <c r="B376" s="35"/>
      <c r="C376" s="35"/>
      <c r="D376" s="35"/>
    </row>
    <row r="377" ht="15.75" customHeight="1">
      <c r="B377" s="35"/>
      <c r="C377" s="35"/>
      <c r="D377" s="35"/>
    </row>
    <row r="378" ht="15.75" customHeight="1">
      <c r="B378" s="35"/>
      <c r="C378" s="35"/>
      <c r="D378" s="35"/>
    </row>
    <row r="379" ht="15.75" customHeight="1">
      <c r="B379" s="35"/>
      <c r="C379" s="35"/>
      <c r="D379" s="35"/>
    </row>
    <row r="380" ht="15.75" customHeight="1">
      <c r="B380" s="35"/>
      <c r="C380" s="35"/>
      <c r="D380" s="35"/>
    </row>
    <row r="381" ht="15.75" customHeight="1">
      <c r="B381" s="35"/>
      <c r="C381" s="35"/>
      <c r="D381" s="35"/>
    </row>
    <row r="382" ht="15.75" customHeight="1">
      <c r="B382" s="35"/>
      <c r="C382" s="35"/>
      <c r="D382" s="35"/>
    </row>
    <row r="383" ht="15.75" customHeight="1">
      <c r="B383" s="35"/>
      <c r="C383" s="35"/>
      <c r="D383" s="35"/>
    </row>
    <row r="384" ht="15.75" customHeight="1">
      <c r="B384" s="35"/>
      <c r="C384" s="35"/>
      <c r="D384" s="35"/>
    </row>
    <row r="385" ht="15.75" customHeight="1">
      <c r="B385" s="35"/>
      <c r="C385" s="35"/>
      <c r="D385" s="35"/>
    </row>
    <row r="386" ht="15.75" customHeight="1">
      <c r="B386" s="35"/>
      <c r="C386" s="35"/>
      <c r="D386" s="35"/>
    </row>
    <row r="387" ht="15.75" customHeight="1">
      <c r="B387" s="35"/>
      <c r="C387" s="35"/>
      <c r="D387" s="35"/>
    </row>
    <row r="388" ht="15.75" customHeight="1">
      <c r="B388" s="35"/>
      <c r="C388" s="35"/>
      <c r="D388" s="35"/>
    </row>
    <row r="389" ht="15.75" customHeight="1">
      <c r="B389" s="35"/>
      <c r="C389" s="35"/>
      <c r="D389" s="35"/>
    </row>
    <row r="390" ht="15.75" customHeight="1">
      <c r="B390" s="35"/>
      <c r="C390" s="35"/>
      <c r="D390" s="35"/>
    </row>
    <row r="391" ht="15.75" customHeight="1">
      <c r="B391" s="35"/>
      <c r="C391" s="35"/>
      <c r="D391" s="35"/>
    </row>
    <row r="392" ht="15.75" customHeight="1">
      <c r="B392" s="35"/>
      <c r="C392" s="35"/>
      <c r="D392" s="35"/>
    </row>
    <row r="393" ht="15.75" customHeight="1">
      <c r="B393" s="35"/>
      <c r="C393" s="35"/>
      <c r="D393" s="35"/>
    </row>
    <row r="394" ht="15.75" customHeight="1">
      <c r="B394" s="35"/>
      <c r="C394" s="35"/>
      <c r="D394" s="35"/>
    </row>
    <row r="395" ht="15.75" customHeight="1">
      <c r="B395" s="35"/>
      <c r="C395" s="35"/>
      <c r="D395" s="35"/>
    </row>
    <row r="396" ht="15.75" customHeight="1">
      <c r="B396" s="35"/>
      <c r="C396" s="35"/>
      <c r="D396" s="35"/>
    </row>
    <row r="397" ht="15.75" customHeight="1">
      <c r="B397" s="35"/>
      <c r="C397" s="35"/>
      <c r="D397" s="35"/>
    </row>
    <row r="398" ht="15.75" customHeight="1">
      <c r="B398" s="35"/>
      <c r="C398" s="35"/>
      <c r="D398" s="35"/>
    </row>
    <row r="399" ht="15.75" customHeight="1">
      <c r="B399" s="35"/>
      <c r="C399" s="35"/>
      <c r="D399" s="35"/>
    </row>
    <row r="400" ht="15.75" customHeight="1">
      <c r="B400" s="35"/>
      <c r="C400" s="35"/>
      <c r="D400" s="35"/>
    </row>
    <row r="401" ht="15.75" customHeight="1">
      <c r="B401" s="35"/>
      <c r="C401" s="35"/>
      <c r="D401" s="35"/>
    </row>
    <row r="402" ht="15.75" customHeight="1">
      <c r="B402" s="35"/>
      <c r="C402" s="35"/>
      <c r="D402" s="35"/>
    </row>
    <row r="403" ht="15.75" customHeight="1">
      <c r="B403" s="35"/>
      <c r="C403" s="35"/>
      <c r="D403" s="35"/>
    </row>
    <row r="404" ht="15.75" customHeight="1">
      <c r="B404" s="35"/>
      <c r="C404" s="35"/>
      <c r="D404" s="35"/>
    </row>
    <row r="405" ht="15.75" customHeight="1">
      <c r="B405" s="35"/>
      <c r="C405" s="35"/>
      <c r="D405" s="35"/>
    </row>
    <row r="406" ht="15.75" customHeight="1">
      <c r="B406" s="35"/>
      <c r="C406" s="35"/>
      <c r="D406" s="35"/>
    </row>
    <row r="407" ht="15.75" customHeight="1">
      <c r="B407" s="35"/>
      <c r="C407" s="35"/>
      <c r="D407" s="35"/>
    </row>
    <row r="408" ht="15.75" customHeight="1">
      <c r="B408" s="35"/>
      <c r="C408" s="35"/>
      <c r="D408" s="35"/>
    </row>
    <row r="409" ht="15.75" customHeight="1">
      <c r="B409" s="35"/>
      <c r="C409" s="35"/>
      <c r="D409" s="35"/>
    </row>
    <row r="410" ht="15.75" customHeight="1">
      <c r="B410" s="35"/>
      <c r="C410" s="35"/>
      <c r="D410" s="35"/>
    </row>
    <row r="411" ht="15.75" customHeight="1">
      <c r="B411" s="35"/>
      <c r="C411" s="35"/>
      <c r="D411" s="35"/>
    </row>
    <row r="412" ht="15.75" customHeight="1">
      <c r="B412" s="35"/>
      <c r="C412" s="35"/>
      <c r="D412" s="35"/>
    </row>
    <row r="413" ht="15.75" customHeight="1">
      <c r="B413" s="35"/>
      <c r="C413" s="35"/>
      <c r="D413" s="35"/>
    </row>
    <row r="414" ht="15.75" customHeight="1">
      <c r="B414" s="35"/>
      <c r="C414" s="35"/>
      <c r="D414" s="35"/>
    </row>
    <row r="415" ht="15.75" customHeight="1">
      <c r="B415" s="35"/>
      <c r="C415" s="35"/>
      <c r="D415" s="35"/>
    </row>
    <row r="416" ht="15.75" customHeight="1">
      <c r="B416" s="35"/>
      <c r="C416" s="35"/>
      <c r="D416" s="35"/>
    </row>
    <row r="417" ht="15.75" customHeight="1">
      <c r="B417" s="35"/>
      <c r="C417" s="35"/>
      <c r="D417" s="35"/>
    </row>
    <row r="418" ht="15.75" customHeight="1">
      <c r="B418" s="35"/>
      <c r="C418" s="35"/>
      <c r="D418" s="35"/>
    </row>
    <row r="419" ht="15.75" customHeight="1">
      <c r="B419" s="35"/>
      <c r="C419" s="35"/>
      <c r="D419" s="35"/>
    </row>
    <row r="420" ht="15.75" customHeight="1">
      <c r="B420" s="35"/>
      <c r="C420" s="35"/>
      <c r="D420" s="35"/>
    </row>
    <row r="421" ht="15.75" customHeight="1">
      <c r="B421" s="35"/>
      <c r="C421" s="35"/>
      <c r="D421" s="35"/>
    </row>
    <row r="422" ht="15.75" customHeight="1">
      <c r="B422" s="35"/>
      <c r="C422" s="35"/>
      <c r="D422" s="35"/>
    </row>
    <row r="423" ht="15.75" customHeight="1">
      <c r="B423" s="35"/>
      <c r="C423" s="35"/>
      <c r="D423" s="35"/>
    </row>
    <row r="424" ht="15.75" customHeight="1">
      <c r="B424" s="35"/>
      <c r="C424" s="35"/>
      <c r="D424" s="35"/>
    </row>
    <row r="425" ht="15.75" customHeight="1">
      <c r="B425" s="35"/>
      <c r="C425" s="35"/>
      <c r="D425" s="35"/>
    </row>
    <row r="426" ht="15.75" customHeight="1">
      <c r="B426" s="35"/>
      <c r="C426" s="35"/>
      <c r="D426" s="35"/>
    </row>
    <row r="427" ht="15.75" customHeight="1">
      <c r="B427" s="35"/>
      <c r="C427" s="35"/>
      <c r="D427" s="35"/>
    </row>
    <row r="428" ht="15.75" customHeight="1">
      <c r="B428" s="35"/>
      <c r="C428" s="35"/>
      <c r="D428" s="35"/>
    </row>
    <row r="429" ht="15.75" customHeight="1">
      <c r="B429" s="35"/>
      <c r="C429" s="35"/>
      <c r="D429" s="35"/>
    </row>
    <row r="430" ht="15.75" customHeight="1">
      <c r="B430" s="35"/>
      <c r="C430" s="35"/>
      <c r="D430" s="35"/>
    </row>
    <row r="431" ht="15.75" customHeight="1">
      <c r="B431" s="35"/>
      <c r="C431" s="35"/>
      <c r="D431" s="35"/>
    </row>
    <row r="432" ht="15.75" customHeight="1">
      <c r="B432" s="35"/>
      <c r="C432" s="35"/>
      <c r="D432" s="35"/>
    </row>
    <row r="433" ht="15.75" customHeight="1">
      <c r="B433" s="35"/>
      <c r="C433" s="35"/>
      <c r="D433" s="35"/>
    </row>
    <row r="434" ht="15.75" customHeight="1">
      <c r="B434" s="35"/>
      <c r="C434" s="35"/>
      <c r="D434" s="35"/>
    </row>
    <row r="435" ht="15.75" customHeight="1">
      <c r="B435" s="35"/>
      <c r="C435" s="35"/>
      <c r="D435" s="35"/>
    </row>
    <row r="436" ht="15.75" customHeight="1">
      <c r="B436" s="35"/>
      <c r="C436" s="35"/>
      <c r="D436" s="35"/>
    </row>
    <row r="437" ht="15.75" customHeight="1">
      <c r="B437" s="35"/>
      <c r="C437" s="35"/>
      <c r="D437" s="35"/>
    </row>
    <row r="438" ht="15.75" customHeight="1">
      <c r="B438" s="35"/>
      <c r="C438" s="35"/>
      <c r="D438" s="35"/>
    </row>
    <row r="439" ht="15.75" customHeight="1">
      <c r="B439" s="35"/>
      <c r="C439" s="35"/>
      <c r="D439" s="35"/>
    </row>
    <row r="440" ht="15.75" customHeight="1">
      <c r="B440" s="35"/>
      <c r="C440" s="35"/>
      <c r="D440" s="35"/>
    </row>
    <row r="441" ht="15.75" customHeight="1">
      <c r="B441" s="35"/>
      <c r="C441" s="35"/>
      <c r="D441" s="35"/>
    </row>
    <row r="442" ht="15.75" customHeight="1">
      <c r="B442" s="35"/>
      <c r="C442" s="35"/>
      <c r="D442" s="35"/>
    </row>
    <row r="443" ht="15.75" customHeight="1">
      <c r="B443" s="35"/>
      <c r="C443" s="35"/>
      <c r="D443" s="35"/>
    </row>
    <row r="444" ht="15.75" customHeight="1">
      <c r="B444" s="35"/>
      <c r="C444" s="35"/>
      <c r="D444" s="35"/>
    </row>
    <row r="445" ht="15.75" customHeight="1">
      <c r="B445" s="35"/>
      <c r="C445" s="35"/>
      <c r="D445" s="35"/>
    </row>
    <row r="446" ht="15.75" customHeight="1">
      <c r="B446" s="35"/>
      <c r="C446" s="35"/>
      <c r="D446" s="35"/>
    </row>
    <row r="447" ht="15.75" customHeight="1">
      <c r="B447" s="35"/>
      <c r="C447" s="35"/>
      <c r="D447" s="35"/>
    </row>
    <row r="448" ht="15.75" customHeight="1">
      <c r="B448" s="35"/>
      <c r="C448" s="35"/>
      <c r="D448" s="35"/>
    </row>
    <row r="449" ht="15.75" customHeight="1">
      <c r="B449" s="35"/>
      <c r="C449" s="35"/>
      <c r="D449" s="35"/>
    </row>
    <row r="450" ht="15.75" customHeight="1">
      <c r="B450" s="35"/>
      <c r="C450" s="35"/>
      <c r="D450" s="35"/>
    </row>
    <row r="451" ht="15.75" customHeight="1">
      <c r="B451" s="35"/>
      <c r="C451" s="35"/>
      <c r="D451" s="35"/>
    </row>
    <row r="452" ht="15.75" customHeight="1">
      <c r="B452" s="35"/>
      <c r="C452" s="35"/>
      <c r="D452" s="35"/>
    </row>
    <row r="453" ht="15.75" customHeight="1">
      <c r="B453" s="35"/>
      <c r="C453" s="35"/>
      <c r="D453" s="35"/>
    </row>
    <row r="454" ht="15.75" customHeight="1">
      <c r="B454" s="35"/>
      <c r="C454" s="35"/>
      <c r="D454" s="35"/>
    </row>
    <row r="455" ht="15.75" customHeight="1">
      <c r="B455" s="35"/>
      <c r="C455" s="35"/>
      <c r="D455" s="35"/>
    </row>
    <row r="456" ht="15.75" customHeight="1">
      <c r="B456" s="35"/>
      <c r="C456" s="35"/>
      <c r="D456" s="35"/>
    </row>
    <row r="457" ht="15.75" customHeight="1">
      <c r="B457" s="35"/>
      <c r="C457" s="35"/>
      <c r="D457" s="35"/>
    </row>
    <row r="458" ht="15.75" customHeight="1">
      <c r="B458" s="35"/>
      <c r="C458" s="35"/>
      <c r="D458" s="35"/>
    </row>
    <row r="459" ht="15.75" customHeight="1">
      <c r="B459" s="35"/>
      <c r="C459" s="35"/>
      <c r="D459" s="35"/>
    </row>
    <row r="460" ht="15.75" customHeight="1">
      <c r="B460" s="35"/>
      <c r="C460" s="35"/>
      <c r="D460" s="35"/>
    </row>
    <row r="461" ht="15.75" customHeight="1">
      <c r="B461" s="35"/>
      <c r="C461" s="35"/>
      <c r="D461" s="35"/>
    </row>
    <row r="462" ht="15.75" customHeight="1">
      <c r="B462" s="35"/>
      <c r="C462" s="35"/>
      <c r="D462" s="35"/>
    </row>
    <row r="463" ht="15.75" customHeight="1">
      <c r="B463" s="35"/>
      <c r="C463" s="35"/>
      <c r="D463" s="35"/>
    </row>
    <row r="464" ht="15.75" customHeight="1">
      <c r="B464" s="35"/>
      <c r="C464" s="35"/>
      <c r="D464" s="35"/>
    </row>
    <row r="465" ht="15.75" customHeight="1">
      <c r="B465" s="35"/>
      <c r="C465" s="35"/>
      <c r="D465" s="35"/>
    </row>
    <row r="466" ht="15.75" customHeight="1">
      <c r="B466" s="35"/>
      <c r="C466" s="35"/>
      <c r="D466" s="35"/>
    </row>
    <row r="467" ht="15.75" customHeight="1">
      <c r="B467" s="35"/>
      <c r="C467" s="35"/>
      <c r="D467" s="35"/>
    </row>
    <row r="468" ht="15.75" customHeight="1">
      <c r="B468" s="35"/>
      <c r="C468" s="35"/>
      <c r="D468" s="35"/>
    </row>
    <row r="469" ht="15.75" customHeight="1">
      <c r="B469" s="35"/>
      <c r="C469" s="35"/>
      <c r="D469" s="35"/>
    </row>
    <row r="470" ht="15.75" customHeight="1">
      <c r="B470" s="35"/>
      <c r="C470" s="35"/>
      <c r="D470" s="35"/>
    </row>
    <row r="471" ht="15.75" customHeight="1">
      <c r="B471" s="35"/>
      <c r="C471" s="35"/>
      <c r="D471" s="35"/>
    </row>
    <row r="472" ht="15.75" customHeight="1">
      <c r="B472" s="35"/>
      <c r="C472" s="35"/>
      <c r="D472" s="35"/>
    </row>
    <row r="473" ht="15.75" customHeight="1">
      <c r="B473" s="35"/>
      <c r="C473" s="35"/>
      <c r="D473" s="35"/>
    </row>
    <row r="474" ht="15.75" customHeight="1">
      <c r="B474" s="35"/>
      <c r="C474" s="35"/>
      <c r="D474" s="35"/>
    </row>
    <row r="475" ht="15.75" customHeight="1">
      <c r="B475" s="35"/>
      <c r="C475" s="35"/>
      <c r="D475" s="35"/>
    </row>
    <row r="476" ht="15.75" customHeight="1">
      <c r="B476" s="35"/>
      <c r="C476" s="35"/>
      <c r="D476" s="35"/>
    </row>
    <row r="477" ht="15.75" customHeight="1">
      <c r="B477" s="35"/>
      <c r="C477" s="35"/>
      <c r="D477" s="35"/>
    </row>
    <row r="478" ht="15.75" customHeight="1">
      <c r="B478" s="35"/>
      <c r="C478" s="35"/>
      <c r="D478" s="35"/>
    </row>
    <row r="479" ht="15.75" customHeight="1">
      <c r="B479" s="35"/>
      <c r="C479" s="35"/>
      <c r="D479" s="35"/>
    </row>
    <row r="480" ht="15.75" customHeight="1">
      <c r="B480" s="35"/>
      <c r="C480" s="35"/>
      <c r="D480" s="35"/>
    </row>
    <row r="481" ht="15.75" customHeight="1">
      <c r="B481" s="35"/>
      <c r="C481" s="35"/>
      <c r="D481" s="35"/>
    </row>
    <row r="482" ht="15.75" customHeight="1">
      <c r="B482" s="35"/>
      <c r="C482" s="35"/>
      <c r="D482" s="35"/>
    </row>
    <row r="483" ht="15.75" customHeight="1">
      <c r="B483" s="35"/>
      <c r="C483" s="35"/>
      <c r="D483" s="35"/>
    </row>
    <row r="484" ht="15.75" customHeight="1">
      <c r="B484" s="35"/>
      <c r="C484" s="35"/>
      <c r="D484" s="35"/>
    </row>
    <row r="485" ht="15.75" customHeight="1">
      <c r="B485" s="35"/>
      <c r="C485" s="35"/>
      <c r="D485" s="35"/>
    </row>
    <row r="486" ht="15.75" customHeight="1">
      <c r="B486" s="35"/>
      <c r="C486" s="35"/>
      <c r="D486" s="35"/>
    </row>
    <row r="487" ht="15.75" customHeight="1">
      <c r="B487" s="35"/>
      <c r="C487" s="35"/>
      <c r="D487" s="35"/>
    </row>
    <row r="488" ht="15.75" customHeight="1">
      <c r="B488" s="35"/>
      <c r="C488" s="35"/>
      <c r="D488" s="35"/>
    </row>
    <row r="489" ht="15.75" customHeight="1">
      <c r="B489" s="35"/>
      <c r="C489" s="35"/>
      <c r="D489" s="35"/>
    </row>
    <row r="490" ht="15.75" customHeight="1">
      <c r="B490" s="35"/>
      <c r="C490" s="35"/>
      <c r="D490" s="35"/>
    </row>
    <row r="491" ht="15.75" customHeight="1">
      <c r="B491" s="35"/>
      <c r="C491" s="35"/>
      <c r="D491" s="35"/>
    </row>
    <row r="492" ht="15.75" customHeight="1">
      <c r="B492" s="35"/>
      <c r="C492" s="35"/>
      <c r="D492" s="35"/>
    </row>
    <row r="493" ht="15.75" customHeight="1">
      <c r="B493" s="35"/>
      <c r="C493" s="35"/>
      <c r="D493" s="35"/>
    </row>
    <row r="494" ht="15.75" customHeight="1">
      <c r="B494" s="35"/>
      <c r="C494" s="35"/>
      <c r="D494" s="35"/>
    </row>
    <row r="495" ht="15.75" customHeight="1">
      <c r="B495" s="35"/>
      <c r="C495" s="35"/>
      <c r="D495" s="35"/>
    </row>
    <row r="496" ht="15.75" customHeight="1">
      <c r="B496" s="35"/>
      <c r="C496" s="35"/>
      <c r="D496" s="35"/>
    </row>
    <row r="497" ht="15.75" customHeight="1">
      <c r="B497" s="35"/>
      <c r="C497" s="35"/>
      <c r="D497" s="35"/>
    </row>
    <row r="498" ht="15.75" customHeight="1">
      <c r="B498" s="35"/>
      <c r="C498" s="35"/>
      <c r="D498" s="35"/>
    </row>
    <row r="499" ht="15.75" customHeight="1">
      <c r="B499" s="35"/>
      <c r="C499" s="35"/>
      <c r="D499" s="35"/>
    </row>
    <row r="500" ht="15.75" customHeight="1">
      <c r="B500" s="35"/>
      <c r="C500" s="35"/>
      <c r="D500" s="35"/>
    </row>
    <row r="501" ht="15.75" customHeight="1">
      <c r="B501" s="35"/>
      <c r="C501" s="35"/>
      <c r="D501" s="35"/>
    </row>
    <row r="502" ht="15.75" customHeight="1">
      <c r="B502" s="35"/>
      <c r="C502" s="35"/>
      <c r="D502" s="35"/>
    </row>
    <row r="503" ht="15.75" customHeight="1">
      <c r="B503" s="35"/>
      <c r="C503" s="35"/>
      <c r="D503" s="35"/>
    </row>
    <row r="504" ht="15.75" customHeight="1">
      <c r="B504" s="35"/>
      <c r="C504" s="35"/>
      <c r="D504" s="35"/>
    </row>
    <row r="505" ht="15.75" customHeight="1">
      <c r="B505" s="35"/>
      <c r="C505" s="35"/>
      <c r="D505" s="35"/>
    </row>
    <row r="506" ht="15.75" customHeight="1">
      <c r="B506" s="35"/>
      <c r="C506" s="35"/>
      <c r="D506" s="35"/>
    </row>
    <row r="507" ht="15.75" customHeight="1">
      <c r="B507" s="35"/>
      <c r="C507" s="35"/>
      <c r="D507" s="35"/>
    </row>
    <row r="508" ht="15.75" customHeight="1">
      <c r="B508" s="35"/>
      <c r="C508" s="35"/>
      <c r="D508" s="35"/>
    </row>
    <row r="509" ht="15.75" customHeight="1">
      <c r="B509" s="35"/>
      <c r="C509" s="35"/>
      <c r="D509" s="35"/>
    </row>
    <row r="510" ht="15.75" customHeight="1">
      <c r="B510" s="35"/>
      <c r="C510" s="35"/>
      <c r="D510" s="35"/>
    </row>
    <row r="511" ht="15.75" customHeight="1">
      <c r="B511" s="35"/>
      <c r="C511" s="35"/>
      <c r="D511" s="35"/>
    </row>
    <row r="512" ht="15.75" customHeight="1">
      <c r="B512" s="35"/>
      <c r="C512" s="35"/>
      <c r="D512" s="35"/>
    </row>
    <row r="513" ht="15.75" customHeight="1">
      <c r="B513" s="35"/>
      <c r="C513" s="35"/>
      <c r="D513" s="35"/>
    </row>
    <row r="514" ht="15.75" customHeight="1">
      <c r="B514" s="35"/>
      <c r="C514" s="35"/>
      <c r="D514" s="35"/>
    </row>
    <row r="515" ht="15.75" customHeight="1">
      <c r="B515" s="35"/>
      <c r="C515" s="35"/>
      <c r="D515" s="35"/>
    </row>
    <row r="516" ht="15.75" customHeight="1">
      <c r="B516" s="35"/>
      <c r="C516" s="35"/>
      <c r="D516" s="35"/>
    </row>
    <row r="517" ht="15.75" customHeight="1">
      <c r="B517" s="35"/>
      <c r="C517" s="35"/>
      <c r="D517" s="35"/>
    </row>
    <row r="518" ht="15.75" customHeight="1">
      <c r="B518" s="35"/>
      <c r="C518" s="35"/>
      <c r="D518" s="35"/>
    </row>
    <row r="519" ht="15.75" customHeight="1">
      <c r="B519" s="35"/>
      <c r="C519" s="35"/>
      <c r="D519" s="35"/>
    </row>
    <row r="520" ht="15.75" customHeight="1">
      <c r="B520" s="35"/>
      <c r="C520" s="35"/>
      <c r="D520" s="35"/>
    </row>
    <row r="521" ht="15.75" customHeight="1">
      <c r="B521" s="35"/>
      <c r="C521" s="35"/>
      <c r="D521" s="35"/>
    </row>
    <row r="522" ht="15.75" customHeight="1">
      <c r="B522" s="35"/>
      <c r="C522" s="35"/>
      <c r="D522" s="35"/>
    </row>
    <row r="523" ht="15.75" customHeight="1">
      <c r="B523" s="35"/>
      <c r="C523" s="35"/>
      <c r="D523" s="35"/>
    </row>
    <row r="524" ht="15.75" customHeight="1">
      <c r="B524" s="35"/>
      <c r="C524" s="35"/>
      <c r="D524" s="35"/>
    </row>
    <row r="525" ht="15.75" customHeight="1">
      <c r="B525" s="35"/>
      <c r="C525" s="35"/>
      <c r="D525" s="35"/>
    </row>
    <row r="526" ht="15.75" customHeight="1">
      <c r="B526" s="35"/>
      <c r="C526" s="35"/>
      <c r="D526" s="35"/>
    </row>
    <row r="527" ht="15.75" customHeight="1">
      <c r="B527" s="35"/>
      <c r="C527" s="35"/>
      <c r="D527" s="35"/>
    </row>
    <row r="528" ht="15.75" customHeight="1">
      <c r="B528" s="35"/>
      <c r="C528" s="35"/>
      <c r="D528" s="35"/>
    </row>
    <row r="529" ht="15.75" customHeight="1">
      <c r="B529" s="35"/>
      <c r="C529" s="35"/>
      <c r="D529" s="35"/>
    </row>
    <row r="530" ht="15.75" customHeight="1">
      <c r="B530" s="35"/>
      <c r="C530" s="35"/>
      <c r="D530" s="35"/>
    </row>
    <row r="531" ht="15.75" customHeight="1">
      <c r="B531" s="35"/>
      <c r="C531" s="35"/>
      <c r="D531" s="35"/>
    </row>
    <row r="532" ht="15.75" customHeight="1">
      <c r="B532" s="35"/>
      <c r="C532" s="35"/>
      <c r="D532" s="35"/>
    </row>
    <row r="533" ht="15.75" customHeight="1">
      <c r="B533" s="35"/>
      <c r="C533" s="35"/>
      <c r="D533" s="35"/>
    </row>
    <row r="534" ht="15.75" customHeight="1">
      <c r="B534" s="35"/>
      <c r="C534" s="35"/>
      <c r="D534" s="35"/>
    </row>
    <row r="535" ht="15.75" customHeight="1">
      <c r="B535" s="35"/>
      <c r="C535" s="35"/>
      <c r="D535" s="35"/>
    </row>
    <row r="536" ht="15.75" customHeight="1">
      <c r="B536" s="35"/>
      <c r="C536" s="35"/>
      <c r="D536" s="35"/>
    </row>
    <row r="537" ht="15.75" customHeight="1">
      <c r="B537" s="35"/>
      <c r="C537" s="35"/>
      <c r="D537" s="35"/>
    </row>
    <row r="538" ht="15.75" customHeight="1">
      <c r="B538" s="35"/>
      <c r="C538" s="35"/>
      <c r="D538" s="35"/>
    </row>
    <row r="539" ht="15.75" customHeight="1">
      <c r="B539" s="35"/>
      <c r="C539" s="35"/>
      <c r="D539" s="35"/>
    </row>
    <row r="540" ht="15.75" customHeight="1">
      <c r="B540" s="35"/>
      <c r="C540" s="35"/>
      <c r="D540" s="35"/>
    </row>
    <row r="541" ht="15.75" customHeight="1">
      <c r="B541" s="35"/>
      <c r="C541" s="35"/>
      <c r="D541" s="35"/>
    </row>
    <row r="542" ht="15.75" customHeight="1">
      <c r="B542" s="35"/>
      <c r="C542" s="35"/>
      <c r="D542" s="35"/>
    </row>
    <row r="543" ht="15.75" customHeight="1">
      <c r="B543" s="35"/>
      <c r="C543" s="35"/>
      <c r="D543" s="35"/>
    </row>
    <row r="544" ht="15.75" customHeight="1">
      <c r="B544" s="35"/>
      <c r="C544" s="35"/>
      <c r="D544" s="35"/>
    </row>
    <row r="545" ht="15.75" customHeight="1">
      <c r="B545" s="35"/>
      <c r="C545" s="35"/>
      <c r="D545" s="35"/>
    </row>
    <row r="546" ht="15.75" customHeight="1">
      <c r="B546" s="35"/>
      <c r="C546" s="35"/>
      <c r="D546" s="35"/>
    </row>
    <row r="547" ht="15.75" customHeight="1">
      <c r="B547" s="35"/>
      <c r="C547" s="35"/>
      <c r="D547" s="35"/>
    </row>
    <row r="548" ht="15.75" customHeight="1">
      <c r="B548" s="35"/>
      <c r="C548" s="35"/>
      <c r="D548" s="35"/>
    </row>
    <row r="549" ht="15.75" customHeight="1">
      <c r="B549" s="35"/>
      <c r="C549" s="35"/>
      <c r="D549" s="35"/>
    </row>
    <row r="550" ht="15.75" customHeight="1">
      <c r="B550" s="35"/>
      <c r="C550" s="35"/>
      <c r="D550" s="35"/>
    </row>
    <row r="551" ht="15.75" customHeight="1">
      <c r="B551" s="35"/>
      <c r="C551" s="35"/>
      <c r="D551" s="35"/>
    </row>
    <row r="552" ht="15.75" customHeight="1">
      <c r="B552" s="35"/>
      <c r="C552" s="35"/>
      <c r="D552" s="35"/>
    </row>
    <row r="553" ht="15.75" customHeight="1">
      <c r="B553" s="35"/>
      <c r="C553" s="35"/>
      <c r="D553" s="35"/>
    </row>
    <row r="554" ht="15.75" customHeight="1">
      <c r="B554" s="35"/>
      <c r="C554" s="35"/>
      <c r="D554" s="35"/>
    </row>
    <row r="555" ht="15.75" customHeight="1">
      <c r="B555" s="35"/>
      <c r="C555" s="35"/>
      <c r="D555" s="35"/>
    </row>
    <row r="556" ht="15.75" customHeight="1">
      <c r="B556" s="35"/>
      <c r="C556" s="35"/>
      <c r="D556" s="35"/>
    </row>
    <row r="557" ht="15.75" customHeight="1">
      <c r="B557" s="35"/>
      <c r="C557" s="35"/>
      <c r="D557" s="35"/>
    </row>
    <row r="558" ht="15.75" customHeight="1">
      <c r="B558" s="35"/>
      <c r="C558" s="35"/>
      <c r="D558" s="35"/>
    </row>
    <row r="559" ht="15.75" customHeight="1">
      <c r="B559" s="35"/>
      <c r="C559" s="35"/>
      <c r="D559" s="35"/>
    </row>
    <row r="560" ht="15.75" customHeight="1">
      <c r="B560" s="35"/>
      <c r="C560" s="35"/>
      <c r="D560" s="35"/>
    </row>
    <row r="561" ht="15.75" customHeight="1">
      <c r="B561" s="35"/>
      <c r="C561" s="35"/>
      <c r="D561" s="35"/>
    </row>
    <row r="562" ht="15.75" customHeight="1">
      <c r="B562" s="35"/>
      <c r="C562" s="35"/>
      <c r="D562" s="35"/>
    </row>
    <row r="563" ht="15.75" customHeight="1">
      <c r="B563" s="35"/>
      <c r="C563" s="35"/>
      <c r="D563" s="35"/>
    </row>
    <row r="564" ht="15.75" customHeight="1">
      <c r="B564" s="35"/>
      <c r="C564" s="35"/>
      <c r="D564" s="35"/>
    </row>
    <row r="565" ht="15.75" customHeight="1">
      <c r="B565" s="35"/>
      <c r="C565" s="35"/>
      <c r="D565" s="35"/>
    </row>
    <row r="566" ht="15.75" customHeight="1">
      <c r="B566" s="35"/>
      <c r="C566" s="35"/>
      <c r="D566" s="35"/>
    </row>
    <row r="567" ht="15.75" customHeight="1">
      <c r="B567" s="35"/>
      <c r="C567" s="35"/>
      <c r="D567" s="35"/>
    </row>
    <row r="568" ht="15.75" customHeight="1">
      <c r="B568" s="35"/>
      <c r="C568" s="35"/>
      <c r="D568" s="35"/>
    </row>
    <row r="569" ht="15.75" customHeight="1">
      <c r="B569" s="35"/>
      <c r="C569" s="35"/>
      <c r="D569" s="35"/>
    </row>
    <row r="570" ht="15.75" customHeight="1">
      <c r="B570" s="35"/>
      <c r="C570" s="35"/>
      <c r="D570" s="35"/>
    </row>
    <row r="571" ht="15.75" customHeight="1">
      <c r="B571" s="35"/>
      <c r="C571" s="35"/>
      <c r="D571" s="35"/>
    </row>
    <row r="572" ht="15.75" customHeight="1">
      <c r="B572" s="35"/>
      <c r="C572" s="35"/>
      <c r="D572" s="35"/>
    </row>
    <row r="573" ht="15.75" customHeight="1">
      <c r="B573" s="35"/>
      <c r="C573" s="35"/>
      <c r="D573" s="35"/>
    </row>
    <row r="574" ht="15.75" customHeight="1">
      <c r="B574" s="35"/>
      <c r="C574" s="35"/>
      <c r="D574" s="35"/>
    </row>
    <row r="575" ht="15.75" customHeight="1">
      <c r="B575" s="35"/>
      <c r="C575" s="35"/>
      <c r="D575" s="35"/>
    </row>
    <row r="576" ht="15.75" customHeight="1">
      <c r="B576" s="35"/>
      <c r="C576" s="35"/>
      <c r="D576" s="35"/>
    </row>
    <row r="577" ht="15.75" customHeight="1">
      <c r="B577" s="35"/>
      <c r="C577" s="35"/>
      <c r="D577" s="35"/>
    </row>
    <row r="578" ht="15.75" customHeight="1">
      <c r="B578" s="35"/>
      <c r="C578" s="35"/>
      <c r="D578" s="35"/>
    </row>
    <row r="579" ht="15.75" customHeight="1">
      <c r="B579" s="35"/>
      <c r="C579" s="35"/>
      <c r="D579" s="35"/>
    </row>
    <row r="580" ht="15.75" customHeight="1">
      <c r="B580" s="35"/>
      <c r="C580" s="35"/>
      <c r="D580" s="35"/>
    </row>
    <row r="581" ht="15.75" customHeight="1">
      <c r="B581" s="35"/>
      <c r="C581" s="35"/>
      <c r="D581" s="35"/>
    </row>
    <row r="582" ht="15.75" customHeight="1">
      <c r="B582" s="35"/>
      <c r="C582" s="35"/>
      <c r="D582" s="35"/>
    </row>
    <row r="583" ht="15.75" customHeight="1">
      <c r="B583" s="35"/>
      <c r="C583" s="35"/>
      <c r="D583" s="35"/>
    </row>
    <row r="584" ht="15.75" customHeight="1">
      <c r="B584" s="35"/>
      <c r="C584" s="35"/>
      <c r="D584" s="35"/>
    </row>
    <row r="585" ht="15.75" customHeight="1">
      <c r="B585" s="35"/>
      <c r="C585" s="35"/>
      <c r="D585" s="35"/>
    </row>
    <row r="586" ht="15.75" customHeight="1">
      <c r="B586" s="35"/>
      <c r="C586" s="35"/>
      <c r="D586" s="35"/>
    </row>
    <row r="587" ht="15.75" customHeight="1">
      <c r="B587" s="35"/>
      <c r="C587" s="35"/>
      <c r="D587" s="35"/>
    </row>
    <row r="588" ht="15.75" customHeight="1">
      <c r="B588" s="35"/>
      <c r="C588" s="35"/>
      <c r="D588" s="35"/>
    </row>
    <row r="589" ht="15.75" customHeight="1">
      <c r="B589" s="35"/>
      <c r="C589" s="35"/>
      <c r="D589" s="35"/>
    </row>
    <row r="590" ht="15.75" customHeight="1">
      <c r="B590" s="35"/>
      <c r="C590" s="35"/>
      <c r="D590" s="35"/>
    </row>
    <row r="591" ht="15.75" customHeight="1">
      <c r="B591" s="35"/>
      <c r="C591" s="35"/>
      <c r="D591" s="35"/>
    </row>
    <row r="592" ht="15.75" customHeight="1">
      <c r="B592" s="35"/>
      <c r="C592" s="35"/>
      <c r="D592" s="35"/>
    </row>
    <row r="593" ht="15.75" customHeight="1">
      <c r="B593" s="35"/>
      <c r="C593" s="35"/>
      <c r="D593" s="35"/>
    </row>
    <row r="594" ht="15.75" customHeight="1">
      <c r="B594" s="35"/>
      <c r="C594" s="35"/>
      <c r="D594" s="35"/>
    </row>
    <row r="595" ht="15.75" customHeight="1">
      <c r="B595" s="35"/>
      <c r="C595" s="35"/>
      <c r="D595" s="35"/>
    </row>
    <row r="596" ht="15.75" customHeight="1">
      <c r="B596" s="35"/>
      <c r="C596" s="35"/>
      <c r="D596" s="35"/>
    </row>
    <row r="597" ht="15.75" customHeight="1">
      <c r="B597" s="35"/>
      <c r="C597" s="35"/>
      <c r="D597" s="35"/>
    </row>
    <row r="598" ht="15.75" customHeight="1">
      <c r="B598" s="35"/>
      <c r="C598" s="35"/>
      <c r="D598" s="35"/>
    </row>
    <row r="599" ht="15.75" customHeight="1">
      <c r="B599" s="35"/>
      <c r="C599" s="35"/>
      <c r="D599" s="35"/>
    </row>
    <row r="600" ht="15.75" customHeight="1">
      <c r="B600" s="35"/>
      <c r="C600" s="35"/>
      <c r="D600" s="35"/>
    </row>
    <row r="601" ht="15.75" customHeight="1">
      <c r="B601" s="35"/>
      <c r="C601" s="35"/>
      <c r="D601" s="35"/>
    </row>
    <row r="602" ht="15.75" customHeight="1">
      <c r="B602" s="35"/>
      <c r="C602" s="35"/>
      <c r="D602" s="35"/>
    </row>
    <row r="603" ht="15.75" customHeight="1">
      <c r="B603" s="35"/>
      <c r="C603" s="35"/>
      <c r="D603" s="35"/>
    </row>
    <row r="604" ht="15.75" customHeight="1">
      <c r="B604" s="35"/>
      <c r="C604" s="35"/>
      <c r="D604" s="35"/>
    </row>
    <row r="605" ht="15.75" customHeight="1">
      <c r="B605" s="35"/>
      <c r="C605" s="35"/>
      <c r="D605" s="35"/>
    </row>
    <row r="606" ht="15.75" customHeight="1">
      <c r="B606" s="35"/>
      <c r="C606" s="35"/>
      <c r="D606" s="35"/>
    </row>
    <row r="607" ht="15.75" customHeight="1">
      <c r="B607" s="35"/>
      <c r="C607" s="35"/>
      <c r="D607" s="35"/>
    </row>
    <row r="608" ht="15.75" customHeight="1">
      <c r="B608" s="35"/>
      <c r="C608" s="35"/>
      <c r="D608" s="35"/>
    </row>
    <row r="609" ht="15.75" customHeight="1">
      <c r="B609" s="35"/>
      <c r="C609" s="35"/>
      <c r="D609" s="35"/>
    </row>
    <row r="610" ht="15.75" customHeight="1">
      <c r="B610" s="35"/>
      <c r="C610" s="35"/>
      <c r="D610" s="35"/>
    </row>
    <row r="611" ht="15.75" customHeight="1">
      <c r="B611" s="35"/>
      <c r="C611" s="35"/>
      <c r="D611" s="35"/>
    </row>
    <row r="612" ht="15.75" customHeight="1">
      <c r="B612" s="35"/>
      <c r="C612" s="35"/>
      <c r="D612" s="35"/>
    </row>
    <row r="613" ht="15.75" customHeight="1">
      <c r="B613" s="35"/>
      <c r="C613" s="35"/>
      <c r="D613" s="35"/>
    </row>
    <row r="614" ht="15.75" customHeight="1">
      <c r="B614" s="35"/>
      <c r="C614" s="35"/>
      <c r="D614" s="35"/>
    </row>
    <row r="615" ht="15.75" customHeight="1">
      <c r="B615" s="35"/>
      <c r="C615" s="35"/>
      <c r="D615" s="35"/>
    </row>
    <row r="616" ht="15.75" customHeight="1">
      <c r="B616" s="35"/>
      <c r="C616" s="35"/>
      <c r="D616" s="35"/>
    </row>
    <row r="617" ht="15.75" customHeight="1">
      <c r="B617" s="35"/>
      <c r="C617" s="35"/>
      <c r="D617" s="35"/>
    </row>
    <row r="618" ht="15.75" customHeight="1">
      <c r="B618" s="35"/>
      <c r="C618" s="35"/>
      <c r="D618" s="35"/>
    </row>
    <row r="619" ht="15.75" customHeight="1">
      <c r="B619" s="35"/>
      <c r="C619" s="35"/>
      <c r="D619" s="35"/>
    </row>
    <row r="620" ht="15.75" customHeight="1">
      <c r="B620" s="35"/>
      <c r="C620" s="35"/>
      <c r="D620" s="35"/>
    </row>
    <row r="621" ht="15.75" customHeight="1">
      <c r="B621" s="35"/>
      <c r="C621" s="35"/>
      <c r="D621" s="35"/>
    </row>
    <row r="622" ht="15.75" customHeight="1">
      <c r="B622" s="35"/>
      <c r="C622" s="35"/>
      <c r="D622" s="35"/>
    </row>
    <row r="623" ht="15.75" customHeight="1">
      <c r="B623" s="35"/>
      <c r="C623" s="35"/>
      <c r="D623" s="35"/>
    </row>
    <row r="624" ht="15.75" customHeight="1">
      <c r="B624" s="35"/>
      <c r="C624" s="35"/>
      <c r="D624" s="35"/>
    </row>
    <row r="625" ht="15.75" customHeight="1">
      <c r="B625" s="35"/>
      <c r="C625" s="35"/>
      <c r="D625" s="35"/>
    </row>
    <row r="626" ht="15.75" customHeight="1">
      <c r="B626" s="35"/>
      <c r="C626" s="35"/>
      <c r="D626" s="35"/>
    </row>
    <row r="627" ht="15.75" customHeight="1">
      <c r="B627" s="35"/>
      <c r="C627" s="35"/>
      <c r="D627" s="35"/>
    </row>
    <row r="628" ht="15.75" customHeight="1">
      <c r="B628" s="35"/>
      <c r="C628" s="35"/>
      <c r="D628" s="35"/>
    </row>
    <row r="629" ht="15.75" customHeight="1">
      <c r="B629" s="35"/>
      <c r="C629" s="35"/>
      <c r="D629" s="35"/>
    </row>
    <row r="630" ht="15.75" customHeight="1">
      <c r="B630" s="35"/>
      <c r="C630" s="35"/>
      <c r="D630" s="35"/>
    </row>
    <row r="631" ht="15.75" customHeight="1">
      <c r="B631" s="35"/>
      <c r="C631" s="35"/>
      <c r="D631" s="35"/>
    </row>
    <row r="632" ht="15.75" customHeight="1">
      <c r="B632" s="35"/>
      <c r="C632" s="35"/>
      <c r="D632" s="35"/>
    </row>
    <row r="633" ht="15.75" customHeight="1">
      <c r="B633" s="35"/>
      <c r="C633" s="35"/>
      <c r="D633" s="35"/>
    </row>
    <row r="634" ht="15.75" customHeight="1">
      <c r="B634" s="35"/>
      <c r="C634" s="35"/>
      <c r="D634" s="35"/>
    </row>
    <row r="635" ht="15.75" customHeight="1">
      <c r="B635" s="35"/>
      <c r="C635" s="35"/>
      <c r="D635" s="35"/>
    </row>
    <row r="636" ht="15.75" customHeight="1">
      <c r="B636" s="35"/>
      <c r="C636" s="35"/>
      <c r="D636" s="35"/>
    </row>
    <row r="637" ht="15.75" customHeight="1">
      <c r="B637" s="35"/>
      <c r="C637" s="35"/>
      <c r="D637" s="35"/>
    </row>
    <row r="638" ht="15.75" customHeight="1">
      <c r="B638" s="35"/>
      <c r="C638" s="35"/>
      <c r="D638" s="35"/>
    </row>
    <row r="639" ht="15.75" customHeight="1">
      <c r="B639" s="35"/>
      <c r="C639" s="35"/>
      <c r="D639" s="35"/>
    </row>
    <row r="640" ht="15.75" customHeight="1">
      <c r="B640" s="35"/>
      <c r="C640" s="35"/>
      <c r="D640" s="35"/>
    </row>
    <row r="641" ht="15.75" customHeight="1">
      <c r="B641" s="35"/>
      <c r="C641" s="35"/>
      <c r="D641" s="35"/>
    </row>
    <row r="642" ht="15.75" customHeight="1">
      <c r="B642" s="35"/>
      <c r="C642" s="35"/>
      <c r="D642" s="35"/>
    </row>
    <row r="643" ht="15.75" customHeight="1">
      <c r="B643" s="35"/>
      <c r="C643" s="35"/>
      <c r="D643" s="35"/>
    </row>
    <row r="644" ht="15.75" customHeight="1">
      <c r="B644" s="35"/>
      <c r="C644" s="35"/>
      <c r="D644" s="35"/>
    </row>
    <row r="645" ht="15.75" customHeight="1">
      <c r="B645" s="35"/>
      <c r="C645" s="35"/>
      <c r="D645" s="35"/>
    </row>
    <row r="646" ht="15.75" customHeight="1">
      <c r="B646" s="35"/>
      <c r="C646" s="35"/>
      <c r="D646" s="35"/>
    </row>
    <row r="647" ht="15.75" customHeight="1">
      <c r="B647" s="35"/>
      <c r="C647" s="35"/>
      <c r="D647" s="35"/>
    </row>
    <row r="648" ht="15.75" customHeight="1">
      <c r="B648" s="35"/>
      <c r="C648" s="35"/>
      <c r="D648" s="35"/>
    </row>
    <row r="649" ht="15.75" customHeight="1">
      <c r="B649" s="35"/>
      <c r="C649" s="35"/>
      <c r="D649" s="35"/>
    </row>
    <row r="650" ht="15.75" customHeight="1">
      <c r="B650" s="35"/>
      <c r="C650" s="35"/>
      <c r="D650" s="35"/>
    </row>
    <row r="651" ht="15.75" customHeight="1">
      <c r="B651" s="35"/>
      <c r="C651" s="35"/>
      <c r="D651" s="35"/>
    </row>
    <row r="652" ht="15.75" customHeight="1">
      <c r="B652" s="35"/>
      <c r="C652" s="35"/>
      <c r="D652" s="35"/>
    </row>
    <row r="653" ht="15.75" customHeight="1">
      <c r="B653" s="35"/>
      <c r="C653" s="35"/>
      <c r="D653" s="35"/>
    </row>
    <row r="654" ht="15.75" customHeight="1">
      <c r="B654" s="35"/>
      <c r="C654" s="35"/>
      <c r="D654" s="35"/>
    </row>
    <row r="655" ht="15.75" customHeight="1">
      <c r="B655" s="35"/>
      <c r="C655" s="35"/>
      <c r="D655" s="35"/>
    </row>
    <row r="656" ht="15.75" customHeight="1">
      <c r="B656" s="35"/>
      <c r="C656" s="35"/>
      <c r="D656" s="35"/>
    </row>
    <row r="657" ht="15.75" customHeight="1">
      <c r="B657" s="35"/>
      <c r="C657" s="35"/>
      <c r="D657" s="35"/>
    </row>
    <row r="658" ht="15.75" customHeight="1">
      <c r="B658" s="35"/>
      <c r="C658" s="35"/>
      <c r="D658" s="35"/>
    </row>
    <row r="659" ht="15.75" customHeight="1">
      <c r="B659" s="35"/>
      <c r="C659" s="35"/>
      <c r="D659" s="35"/>
    </row>
    <row r="660" ht="15.75" customHeight="1">
      <c r="B660" s="35"/>
      <c r="C660" s="35"/>
      <c r="D660" s="35"/>
    </row>
    <row r="661" ht="15.75" customHeight="1">
      <c r="B661" s="35"/>
      <c r="C661" s="35"/>
      <c r="D661" s="35"/>
    </row>
    <row r="662" ht="15.75" customHeight="1">
      <c r="B662" s="35"/>
      <c r="C662" s="35"/>
      <c r="D662" s="35"/>
    </row>
    <row r="663" ht="15.75" customHeight="1">
      <c r="B663" s="35"/>
      <c r="C663" s="35"/>
      <c r="D663" s="35"/>
    </row>
    <row r="664" ht="15.75" customHeight="1">
      <c r="B664" s="35"/>
      <c r="C664" s="35"/>
      <c r="D664" s="35"/>
    </row>
    <row r="665" ht="15.75" customHeight="1">
      <c r="B665" s="35"/>
      <c r="C665" s="35"/>
      <c r="D665" s="35"/>
    </row>
    <row r="666" ht="15.75" customHeight="1">
      <c r="B666" s="35"/>
      <c r="C666" s="35"/>
      <c r="D666" s="35"/>
    </row>
    <row r="667" ht="15.75" customHeight="1">
      <c r="B667" s="35"/>
      <c r="C667" s="35"/>
      <c r="D667" s="35"/>
    </row>
    <row r="668" ht="15.75" customHeight="1">
      <c r="B668" s="35"/>
      <c r="C668" s="35"/>
      <c r="D668" s="35"/>
    </row>
    <row r="669" ht="15.75" customHeight="1">
      <c r="B669" s="35"/>
      <c r="C669" s="35"/>
      <c r="D669" s="35"/>
    </row>
    <row r="670" ht="15.75" customHeight="1">
      <c r="B670" s="35"/>
      <c r="C670" s="35"/>
      <c r="D670" s="35"/>
    </row>
    <row r="671" ht="15.75" customHeight="1">
      <c r="B671" s="35"/>
      <c r="C671" s="35"/>
      <c r="D671" s="35"/>
    </row>
    <row r="672" ht="15.75" customHeight="1">
      <c r="B672" s="35"/>
      <c r="C672" s="35"/>
      <c r="D672" s="35"/>
    </row>
    <row r="673" ht="15.75" customHeight="1">
      <c r="B673" s="35"/>
      <c r="C673" s="35"/>
      <c r="D673" s="35"/>
    </row>
    <row r="674" ht="15.75" customHeight="1">
      <c r="B674" s="35"/>
      <c r="C674" s="35"/>
      <c r="D674" s="35"/>
    </row>
    <row r="675" ht="15.75" customHeight="1">
      <c r="B675" s="35"/>
      <c r="C675" s="35"/>
      <c r="D675" s="35"/>
    </row>
    <row r="676" ht="15.75" customHeight="1">
      <c r="B676" s="35"/>
      <c r="C676" s="35"/>
      <c r="D676" s="35"/>
    </row>
    <row r="677" ht="15.75" customHeight="1">
      <c r="B677" s="35"/>
      <c r="C677" s="35"/>
      <c r="D677" s="35"/>
    </row>
    <row r="678" ht="15.75" customHeight="1">
      <c r="B678" s="35"/>
      <c r="C678" s="35"/>
      <c r="D678" s="35"/>
    </row>
    <row r="679" ht="15.75" customHeight="1">
      <c r="B679" s="35"/>
      <c r="C679" s="35"/>
      <c r="D679" s="35"/>
    </row>
    <row r="680" ht="15.75" customHeight="1">
      <c r="B680" s="35"/>
      <c r="C680" s="35"/>
      <c r="D680" s="35"/>
    </row>
    <row r="681" ht="15.75" customHeight="1">
      <c r="B681" s="35"/>
      <c r="C681" s="35"/>
      <c r="D681" s="35"/>
    </row>
    <row r="682" ht="15.75" customHeight="1">
      <c r="B682" s="35"/>
      <c r="C682" s="35"/>
      <c r="D682" s="35"/>
    </row>
    <row r="683" ht="15.75" customHeight="1">
      <c r="B683" s="35"/>
      <c r="C683" s="35"/>
      <c r="D683" s="35"/>
    </row>
    <row r="684" ht="15.75" customHeight="1">
      <c r="B684" s="35"/>
      <c r="C684" s="35"/>
      <c r="D684" s="35"/>
    </row>
    <row r="685" ht="15.75" customHeight="1">
      <c r="B685" s="35"/>
      <c r="C685" s="35"/>
      <c r="D685" s="35"/>
    </row>
    <row r="686" ht="15.75" customHeight="1">
      <c r="B686" s="35"/>
      <c r="C686" s="35"/>
      <c r="D686" s="35"/>
    </row>
    <row r="687" ht="15.75" customHeight="1">
      <c r="B687" s="35"/>
      <c r="C687" s="35"/>
      <c r="D687" s="35"/>
    </row>
    <row r="688" ht="15.75" customHeight="1">
      <c r="B688" s="35"/>
      <c r="C688" s="35"/>
      <c r="D688" s="35"/>
    </row>
    <row r="689" ht="15.75" customHeight="1">
      <c r="B689" s="35"/>
      <c r="C689" s="35"/>
      <c r="D689" s="35"/>
    </row>
    <row r="690" ht="15.75" customHeight="1">
      <c r="B690" s="35"/>
      <c r="C690" s="35"/>
      <c r="D690" s="35"/>
    </row>
    <row r="691" ht="15.75" customHeight="1">
      <c r="B691" s="35"/>
      <c r="C691" s="35"/>
      <c r="D691" s="35"/>
    </row>
    <row r="692" ht="15.75" customHeight="1">
      <c r="B692" s="35"/>
      <c r="C692" s="35"/>
      <c r="D692" s="35"/>
    </row>
    <row r="693" ht="15.75" customHeight="1">
      <c r="B693" s="35"/>
      <c r="C693" s="35"/>
      <c r="D693" s="35"/>
    </row>
    <row r="694" ht="15.75" customHeight="1">
      <c r="B694" s="35"/>
      <c r="C694" s="35"/>
      <c r="D694" s="35"/>
    </row>
    <row r="695" ht="15.75" customHeight="1">
      <c r="B695" s="35"/>
      <c r="C695" s="35"/>
      <c r="D695" s="35"/>
    </row>
    <row r="696" ht="15.75" customHeight="1">
      <c r="B696" s="35"/>
      <c r="C696" s="35"/>
      <c r="D696" s="35"/>
    </row>
    <row r="697" ht="15.75" customHeight="1">
      <c r="B697" s="35"/>
      <c r="C697" s="35"/>
      <c r="D697" s="35"/>
    </row>
    <row r="698" ht="15.75" customHeight="1">
      <c r="B698" s="35"/>
      <c r="C698" s="35"/>
      <c r="D698" s="35"/>
    </row>
    <row r="699" ht="15.75" customHeight="1">
      <c r="B699" s="35"/>
      <c r="C699" s="35"/>
      <c r="D699" s="35"/>
    </row>
    <row r="700" ht="15.75" customHeight="1">
      <c r="B700" s="35"/>
      <c r="C700" s="35"/>
      <c r="D700" s="35"/>
    </row>
    <row r="701" ht="15.75" customHeight="1">
      <c r="B701" s="35"/>
      <c r="C701" s="35"/>
      <c r="D701" s="35"/>
    </row>
    <row r="702" ht="15.75" customHeight="1">
      <c r="B702" s="35"/>
      <c r="C702" s="35"/>
      <c r="D702" s="35"/>
    </row>
    <row r="703" ht="15.75" customHeight="1">
      <c r="B703" s="35"/>
      <c r="C703" s="35"/>
      <c r="D703" s="35"/>
    </row>
    <row r="704" ht="15.75" customHeight="1">
      <c r="B704" s="35"/>
      <c r="C704" s="35"/>
      <c r="D704" s="35"/>
    </row>
    <row r="705" ht="15.75" customHeight="1">
      <c r="B705" s="35"/>
      <c r="C705" s="35"/>
      <c r="D705" s="35"/>
    </row>
    <row r="706" ht="15.75" customHeight="1">
      <c r="B706" s="35"/>
      <c r="C706" s="35"/>
      <c r="D706" s="35"/>
    </row>
    <row r="707" ht="15.75" customHeight="1">
      <c r="B707" s="35"/>
      <c r="C707" s="35"/>
      <c r="D707" s="35"/>
    </row>
    <row r="708" ht="15.75" customHeight="1">
      <c r="B708" s="35"/>
      <c r="C708" s="35"/>
      <c r="D708" s="35"/>
    </row>
    <row r="709" ht="15.75" customHeight="1">
      <c r="B709" s="35"/>
      <c r="C709" s="35"/>
      <c r="D709" s="35"/>
    </row>
    <row r="710" ht="15.75" customHeight="1">
      <c r="B710" s="35"/>
      <c r="C710" s="35"/>
      <c r="D710" s="35"/>
    </row>
    <row r="711" ht="15.75" customHeight="1">
      <c r="B711" s="35"/>
      <c r="C711" s="35"/>
      <c r="D711" s="35"/>
    </row>
    <row r="712" ht="15.75" customHeight="1">
      <c r="B712" s="35"/>
      <c r="C712" s="35"/>
      <c r="D712" s="35"/>
    </row>
    <row r="713" ht="15.75" customHeight="1">
      <c r="B713" s="35"/>
      <c r="C713" s="35"/>
      <c r="D713" s="35"/>
    </row>
    <row r="714" ht="15.75" customHeight="1">
      <c r="B714" s="35"/>
      <c r="C714" s="35"/>
      <c r="D714" s="35"/>
    </row>
    <row r="715" ht="15.75" customHeight="1">
      <c r="B715" s="35"/>
      <c r="C715" s="35"/>
      <c r="D715" s="35"/>
    </row>
    <row r="716" ht="15.75" customHeight="1">
      <c r="B716" s="35"/>
      <c r="C716" s="35"/>
      <c r="D716" s="35"/>
    </row>
    <row r="717" ht="15.75" customHeight="1">
      <c r="B717" s="35"/>
      <c r="C717" s="35"/>
      <c r="D717" s="35"/>
    </row>
    <row r="718" ht="15.75" customHeight="1">
      <c r="B718" s="35"/>
      <c r="C718" s="35"/>
      <c r="D718" s="35"/>
    </row>
    <row r="719" ht="15.75" customHeight="1">
      <c r="B719" s="35"/>
      <c r="C719" s="35"/>
      <c r="D719" s="35"/>
    </row>
    <row r="720" ht="15.75" customHeight="1">
      <c r="B720" s="35"/>
      <c r="C720" s="35"/>
      <c r="D720" s="35"/>
    </row>
    <row r="721" ht="15.75" customHeight="1">
      <c r="B721" s="35"/>
      <c r="C721" s="35"/>
      <c r="D721" s="35"/>
    </row>
    <row r="722" ht="15.75" customHeight="1">
      <c r="B722" s="35"/>
      <c r="C722" s="35"/>
      <c r="D722" s="35"/>
    </row>
    <row r="723" ht="15.75" customHeight="1">
      <c r="B723" s="35"/>
      <c r="C723" s="35"/>
      <c r="D723" s="35"/>
    </row>
    <row r="724" ht="15.75" customHeight="1">
      <c r="B724" s="35"/>
      <c r="C724" s="35"/>
      <c r="D724" s="35"/>
    </row>
    <row r="725" ht="15.75" customHeight="1">
      <c r="B725" s="35"/>
      <c r="C725" s="35"/>
      <c r="D725" s="35"/>
    </row>
    <row r="726" ht="15.75" customHeight="1">
      <c r="B726" s="35"/>
      <c r="C726" s="35"/>
      <c r="D726" s="35"/>
    </row>
    <row r="727" ht="15.75" customHeight="1">
      <c r="B727" s="35"/>
      <c r="C727" s="35"/>
      <c r="D727" s="35"/>
    </row>
    <row r="728" ht="15.75" customHeight="1">
      <c r="B728" s="35"/>
      <c r="C728" s="35"/>
      <c r="D728" s="35"/>
    </row>
    <row r="729" ht="15.75" customHeight="1">
      <c r="B729" s="35"/>
      <c r="C729" s="35"/>
      <c r="D729" s="35"/>
    </row>
    <row r="730" ht="15.75" customHeight="1">
      <c r="B730" s="35"/>
      <c r="C730" s="35"/>
      <c r="D730" s="35"/>
    </row>
    <row r="731" ht="15.75" customHeight="1">
      <c r="B731" s="35"/>
      <c r="C731" s="35"/>
      <c r="D731" s="35"/>
    </row>
    <row r="732" ht="15.75" customHeight="1">
      <c r="B732" s="35"/>
      <c r="C732" s="35"/>
      <c r="D732" s="35"/>
    </row>
    <row r="733" ht="15.75" customHeight="1">
      <c r="B733" s="35"/>
      <c r="C733" s="35"/>
      <c r="D733" s="35"/>
    </row>
    <row r="734" ht="15.75" customHeight="1">
      <c r="B734" s="35"/>
      <c r="C734" s="35"/>
      <c r="D734" s="35"/>
    </row>
    <row r="735" ht="15.75" customHeight="1">
      <c r="B735" s="35"/>
      <c r="C735" s="35"/>
      <c r="D735" s="35"/>
    </row>
    <row r="736" ht="15.75" customHeight="1">
      <c r="B736" s="35"/>
      <c r="C736" s="35"/>
      <c r="D736" s="35"/>
    </row>
    <row r="737" ht="15.75" customHeight="1">
      <c r="B737" s="35"/>
      <c r="C737" s="35"/>
      <c r="D737" s="35"/>
    </row>
    <row r="738" ht="15.75" customHeight="1">
      <c r="B738" s="35"/>
      <c r="C738" s="35"/>
      <c r="D738" s="35"/>
    </row>
    <row r="739" ht="15.75" customHeight="1">
      <c r="B739" s="35"/>
      <c r="C739" s="35"/>
      <c r="D739" s="35"/>
    </row>
    <row r="740" ht="15.75" customHeight="1">
      <c r="B740" s="35"/>
      <c r="C740" s="35"/>
      <c r="D740" s="35"/>
    </row>
    <row r="741" ht="15.75" customHeight="1">
      <c r="B741" s="35"/>
      <c r="C741" s="35"/>
      <c r="D741" s="35"/>
    </row>
    <row r="742" ht="15.75" customHeight="1">
      <c r="B742" s="35"/>
      <c r="C742" s="35"/>
      <c r="D742" s="35"/>
    </row>
    <row r="743" ht="15.75" customHeight="1">
      <c r="B743" s="35"/>
      <c r="C743" s="35"/>
      <c r="D743" s="35"/>
    </row>
    <row r="744" ht="15.75" customHeight="1">
      <c r="B744" s="35"/>
      <c r="C744" s="35"/>
      <c r="D744" s="35"/>
    </row>
    <row r="745" ht="15.75" customHeight="1">
      <c r="B745" s="35"/>
      <c r="C745" s="35"/>
      <c r="D745" s="35"/>
    </row>
    <row r="746" ht="15.75" customHeight="1">
      <c r="B746" s="35"/>
      <c r="C746" s="35"/>
      <c r="D746" s="35"/>
    </row>
    <row r="747" ht="15.75" customHeight="1">
      <c r="B747" s="35"/>
      <c r="C747" s="35"/>
      <c r="D747" s="35"/>
    </row>
    <row r="748" ht="15.75" customHeight="1">
      <c r="B748" s="35"/>
      <c r="C748" s="35"/>
      <c r="D748" s="35"/>
    </row>
    <row r="749" ht="15.75" customHeight="1">
      <c r="B749" s="35"/>
      <c r="C749" s="35"/>
      <c r="D749" s="35"/>
    </row>
    <row r="750" ht="15.75" customHeight="1">
      <c r="B750" s="35"/>
      <c r="C750" s="35"/>
      <c r="D750" s="35"/>
    </row>
    <row r="751" ht="15.75" customHeight="1">
      <c r="B751" s="35"/>
      <c r="C751" s="35"/>
      <c r="D751" s="35"/>
    </row>
    <row r="752" ht="15.75" customHeight="1">
      <c r="B752" s="35"/>
      <c r="C752" s="35"/>
      <c r="D752" s="35"/>
    </row>
    <row r="753" ht="15.75" customHeight="1">
      <c r="B753" s="35"/>
      <c r="C753" s="35"/>
      <c r="D753" s="35"/>
    </row>
    <row r="754" ht="15.75" customHeight="1">
      <c r="B754" s="35"/>
      <c r="C754" s="35"/>
      <c r="D754" s="35"/>
    </row>
    <row r="755" ht="15.75" customHeight="1">
      <c r="B755" s="35"/>
      <c r="C755" s="35"/>
      <c r="D755" s="35"/>
    </row>
    <row r="756" ht="15.75" customHeight="1">
      <c r="B756" s="35"/>
      <c r="C756" s="35"/>
      <c r="D756" s="35"/>
    </row>
    <row r="757" ht="15.75" customHeight="1">
      <c r="B757" s="35"/>
      <c r="C757" s="35"/>
      <c r="D757" s="35"/>
    </row>
    <row r="758" ht="15.75" customHeight="1">
      <c r="B758" s="35"/>
      <c r="C758" s="35"/>
      <c r="D758" s="35"/>
    </row>
    <row r="759" ht="15.75" customHeight="1">
      <c r="B759" s="35"/>
      <c r="C759" s="35"/>
      <c r="D759" s="35"/>
    </row>
    <row r="760" ht="15.75" customHeight="1">
      <c r="B760" s="35"/>
      <c r="C760" s="35"/>
      <c r="D760" s="35"/>
    </row>
    <row r="761" ht="15.75" customHeight="1">
      <c r="B761" s="35"/>
      <c r="C761" s="35"/>
      <c r="D761" s="35"/>
    </row>
    <row r="762" ht="15.75" customHeight="1">
      <c r="B762" s="35"/>
      <c r="C762" s="35"/>
      <c r="D762" s="35"/>
    </row>
    <row r="763" ht="15.75" customHeight="1">
      <c r="B763" s="35"/>
      <c r="C763" s="35"/>
      <c r="D763" s="35"/>
    </row>
    <row r="764" ht="15.75" customHeight="1">
      <c r="B764" s="35"/>
      <c r="C764" s="35"/>
      <c r="D764" s="35"/>
    </row>
    <row r="765" ht="15.75" customHeight="1">
      <c r="B765" s="35"/>
      <c r="C765" s="35"/>
      <c r="D765" s="35"/>
    </row>
    <row r="766" ht="15.75" customHeight="1">
      <c r="B766" s="35"/>
      <c r="C766" s="35"/>
      <c r="D766" s="35"/>
    </row>
    <row r="767" ht="15.75" customHeight="1">
      <c r="B767" s="35"/>
      <c r="C767" s="35"/>
      <c r="D767" s="35"/>
    </row>
    <row r="768" ht="15.75" customHeight="1">
      <c r="B768" s="35"/>
      <c r="C768" s="35"/>
      <c r="D768" s="35"/>
    </row>
    <row r="769" ht="15.75" customHeight="1">
      <c r="B769" s="35"/>
      <c r="C769" s="35"/>
      <c r="D769" s="35"/>
    </row>
    <row r="770" ht="15.75" customHeight="1">
      <c r="B770" s="35"/>
      <c r="C770" s="35"/>
      <c r="D770" s="35"/>
    </row>
    <row r="771" ht="15.75" customHeight="1">
      <c r="B771" s="35"/>
      <c r="C771" s="35"/>
      <c r="D771" s="35"/>
    </row>
    <row r="772" ht="15.75" customHeight="1">
      <c r="B772" s="35"/>
      <c r="C772" s="35"/>
      <c r="D772" s="35"/>
    </row>
    <row r="773" ht="15.75" customHeight="1">
      <c r="B773" s="35"/>
      <c r="C773" s="35"/>
      <c r="D773" s="35"/>
    </row>
    <row r="774" ht="15.75" customHeight="1">
      <c r="B774" s="35"/>
      <c r="C774" s="35"/>
      <c r="D774" s="35"/>
    </row>
    <row r="775" ht="15.75" customHeight="1">
      <c r="B775" s="35"/>
      <c r="C775" s="35"/>
      <c r="D775" s="35"/>
    </row>
    <row r="776" ht="15.75" customHeight="1">
      <c r="B776" s="35"/>
      <c r="C776" s="35"/>
      <c r="D776" s="35"/>
    </row>
    <row r="777" ht="15.75" customHeight="1">
      <c r="B777" s="35"/>
      <c r="C777" s="35"/>
      <c r="D777" s="35"/>
    </row>
    <row r="778" ht="15.75" customHeight="1">
      <c r="B778" s="35"/>
      <c r="C778" s="35"/>
      <c r="D778" s="35"/>
    </row>
    <row r="779" ht="15.75" customHeight="1">
      <c r="B779" s="35"/>
      <c r="C779" s="35"/>
      <c r="D779" s="35"/>
    </row>
    <row r="780" ht="15.75" customHeight="1">
      <c r="B780" s="35"/>
      <c r="C780" s="35"/>
      <c r="D780" s="35"/>
    </row>
    <row r="781" ht="15.75" customHeight="1">
      <c r="B781" s="35"/>
      <c r="C781" s="35"/>
      <c r="D781" s="35"/>
    </row>
    <row r="782" ht="15.75" customHeight="1">
      <c r="B782" s="35"/>
      <c r="C782" s="35"/>
      <c r="D782" s="35"/>
    </row>
    <row r="783" ht="15.75" customHeight="1">
      <c r="B783" s="35"/>
      <c r="C783" s="35"/>
      <c r="D783" s="35"/>
    </row>
    <row r="784" ht="15.75" customHeight="1">
      <c r="B784" s="35"/>
      <c r="C784" s="35"/>
      <c r="D784" s="35"/>
    </row>
    <row r="785" ht="15.75" customHeight="1">
      <c r="B785" s="35"/>
      <c r="C785" s="35"/>
      <c r="D785" s="35"/>
    </row>
    <row r="786" ht="15.75" customHeight="1">
      <c r="B786" s="35"/>
      <c r="C786" s="35"/>
      <c r="D786" s="35"/>
    </row>
    <row r="787" ht="15.75" customHeight="1">
      <c r="B787" s="35"/>
      <c r="C787" s="35"/>
      <c r="D787" s="35"/>
    </row>
    <row r="788" ht="15.75" customHeight="1">
      <c r="B788" s="35"/>
      <c r="C788" s="35"/>
      <c r="D788" s="35"/>
    </row>
    <row r="789" ht="15.75" customHeight="1">
      <c r="B789" s="35"/>
      <c r="C789" s="35"/>
      <c r="D789" s="35"/>
    </row>
    <row r="790" ht="15.75" customHeight="1">
      <c r="B790" s="35"/>
      <c r="C790" s="35"/>
      <c r="D790" s="35"/>
    </row>
    <row r="791" ht="15.75" customHeight="1">
      <c r="B791" s="35"/>
      <c r="C791" s="35"/>
      <c r="D791" s="35"/>
    </row>
    <row r="792" ht="15.75" customHeight="1">
      <c r="B792" s="35"/>
      <c r="C792" s="35"/>
      <c r="D792" s="35"/>
    </row>
    <row r="793" ht="15.75" customHeight="1">
      <c r="B793" s="35"/>
      <c r="C793" s="35"/>
      <c r="D793" s="35"/>
    </row>
    <row r="794" ht="15.75" customHeight="1">
      <c r="B794" s="35"/>
      <c r="C794" s="35"/>
      <c r="D794" s="35"/>
    </row>
    <row r="795" ht="15.75" customHeight="1">
      <c r="B795" s="35"/>
      <c r="C795" s="35"/>
      <c r="D795" s="35"/>
    </row>
    <row r="796" ht="15.75" customHeight="1">
      <c r="B796" s="35"/>
      <c r="C796" s="35"/>
      <c r="D796" s="35"/>
    </row>
    <row r="797" ht="15.75" customHeight="1">
      <c r="B797" s="35"/>
      <c r="C797" s="35"/>
      <c r="D797" s="35"/>
    </row>
    <row r="798" ht="15.75" customHeight="1">
      <c r="B798" s="35"/>
      <c r="C798" s="35"/>
      <c r="D798" s="35"/>
    </row>
    <row r="799" ht="15.75" customHeight="1">
      <c r="B799" s="35"/>
      <c r="C799" s="35"/>
      <c r="D799" s="35"/>
    </row>
    <row r="800" ht="15.75" customHeight="1">
      <c r="B800" s="35"/>
      <c r="C800" s="35"/>
      <c r="D800" s="35"/>
    </row>
    <row r="801" ht="15.75" customHeight="1">
      <c r="B801" s="35"/>
      <c r="C801" s="35"/>
      <c r="D801" s="35"/>
    </row>
    <row r="802" ht="15.75" customHeight="1">
      <c r="B802" s="35"/>
      <c r="C802" s="35"/>
      <c r="D802" s="35"/>
    </row>
    <row r="803" ht="15.75" customHeight="1">
      <c r="B803" s="35"/>
      <c r="C803" s="35"/>
      <c r="D803" s="35"/>
    </row>
    <row r="804" ht="15.75" customHeight="1">
      <c r="B804" s="35"/>
      <c r="C804" s="35"/>
      <c r="D804" s="35"/>
    </row>
    <row r="805" ht="15.75" customHeight="1">
      <c r="B805" s="35"/>
      <c r="C805" s="35"/>
      <c r="D805" s="35"/>
    </row>
    <row r="806" ht="15.75" customHeight="1">
      <c r="B806" s="35"/>
      <c r="C806" s="35"/>
      <c r="D806" s="35"/>
    </row>
    <row r="807" ht="15.75" customHeight="1">
      <c r="B807" s="35"/>
      <c r="C807" s="35"/>
      <c r="D807" s="35"/>
    </row>
    <row r="808" ht="15.75" customHeight="1">
      <c r="B808" s="35"/>
      <c r="C808" s="35"/>
      <c r="D808" s="35"/>
    </row>
    <row r="809" ht="15.75" customHeight="1">
      <c r="B809" s="35"/>
      <c r="C809" s="35"/>
      <c r="D809" s="35"/>
    </row>
    <row r="810" ht="15.75" customHeight="1">
      <c r="B810" s="35"/>
      <c r="C810" s="35"/>
      <c r="D810" s="35"/>
    </row>
    <row r="811" ht="15.75" customHeight="1">
      <c r="B811" s="35"/>
      <c r="C811" s="35"/>
      <c r="D811" s="35"/>
    </row>
    <row r="812" ht="15.75" customHeight="1">
      <c r="B812" s="35"/>
      <c r="C812" s="35"/>
      <c r="D812" s="35"/>
    </row>
    <row r="813" ht="15.75" customHeight="1">
      <c r="B813" s="35"/>
      <c r="C813" s="35"/>
      <c r="D813" s="35"/>
    </row>
    <row r="814" ht="15.75" customHeight="1">
      <c r="B814" s="35"/>
      <c r="C814" s="35"/>
      <c r="D814" s="35"/>
    </row>
    <row r="815" ht="15.75" customHeight="1">
      <c r="B815" s="35"/>
      <c r="C815" s="35"/>
      <c r="D815" s="35"/>
    </row>
    <row r="816" ht="15.75" customHeight="1">
      <c r="B816" s="35"/>
      <c r="C816" s="35"/>
      <c r="D816" s="35"/>
    </row>
    <row r="817" ht="15.75" customHeight="1">
      <c r="B817" s="35"/>
      <c r="C817" s="35"/>
      <c r="D817" s="35"/>
    </row>
    <row r="818" ht="15.75" customHeight="1">
      <c r="B818" s="35"/>
      <c r="C818" s="35"/>
      <c r="D818" s="35"/>
    </row>
    <row r="819" ht="15.75" customHeight="1">
      <c r="B819" s="35"/>
      <c r="C819" s="35"/>
      <c r="D819" s="35"/>
    </row>
    <row r="820" ht="15.75" customHeight="1">
      <c r="B820" s="35"/>
      <c r="C820" s="35"/>
      <c r="D820" s="35"/>
    </row>
    <row r="821" ht="15.75" customHeight="1">
      <c r="B821" s="35"/>
      <c r="C821" s="35"/>
      <c r="D821" s="35"/>
    </row>
    <row r="822" ht="15.75" customHeight="1">
      <c r="B822" s="35"/>
      <c r="C822" s="35"/>
      <c r="D822" s="35"/>
    </row>
    <row r="823" ht="15.75" customHeight="1">
      <c r="B823" s="35"/>
      <c r="C823" s="35"/>
      <c r="D823" s="35"/>
    </row>
    <row r="824" ht="15.75" customHeight="1">
      <c r="B824" s="35"/>
      <c r="C824" s="35"/>
      <c r="D824" s="35"/>
    </row>
    <row r="825" ht="15.75" customHeight="1">
      <c r="B825" s="35"/>
      <c r="C825" s="35"/>
      <c r="D825" s="35"/>
    </row>
    <row r="826" ht="15.75" customHeight="1">
      <c r="B826" s="35"/>
      <c r="C826" s="35"/>
      <c r="D826" s="35"/>
    </row>
    <row r="827" ht="15.75" customHeight="1">
      <c r="B827" s="35"/>
      <c r="C827" s="35"/>
      <c r="D827" s="35"/>
    </row>
    <row r="828" ht="15.75" customHeight="1">
      <c r="B828" s="35"/>
      <c r="C828" s="35"/>
      <c r="D828" s="35"/>
    </row>
    <row r="829" ht="15.75" customHeight="1">
      <c r="B829" s="35"/>
      <c r="C829" s="35"/>
      <c r="D829" s="35"/>
    </row>
    <row r="830" ht="15.75" customHeight="1">
      <c r="B830" s="35"/>
      <c r="C830" s="35"/>
      <c r="D830" s="35"/>
    </row>
    <row r="831" ht="15.75" customHeight="1">
      <c r="B831" s="35"/>
      <c r="C831" s="35"/>
      <c r="D831" s="35"/>
    </row>
    <row r="832" ht="15.75" customHeight="1">
      <c r="B832" s="35"/>
      <c r="C832" s="35"/>
      <c r="D832" s="35"/>
    </row>
    <row r="833" ht="15.75" customHeight="1">
      <c r="B833" s="35"/>
      <c r="C833" s="35"/>
      <c r="D833" s="35"/>
    </row>
    <row r="834" ht="15.75" customHeight="1">
      <c r="B834" s="35"/>
      <c r="C834" s="35"/>
      <c r="D834" s="35"/>
    </row>
    <row r="835" ht="15.75" customHeight="1">
      <c r="B835" s="35"/>
      <c r="C835" s="35"/>
      <c r="D835" s="35"/>
    </row>
    <row r="836" ht="15.75" customHeight="1">
      <c r="B836" s="35"/>
      <c r="C836" s="35"/>
      <c r="D836" s="35"/>
    </row>
    <row r="837" ht="15.75" customHeight="1">
      <c r="B837" s="35"/>
      <c r="C837" s="35"/>
      <c r="D837" s="35"/>
    </row>
    <row r="838" ht="15.75" customHeight="1">
      <c r="B838" s="35"/>
      <c r="C838" s="35"/>
      <c r="D838" s="35"/>
    </row>
    <row r="839" ht="15.75" customHeight="1">
      <c r="B839" s="35"/>
      <c r="C839" s="35"/>
      <c r="D839" s="35"/>
    </row>
    <row r="840" ht="15.75" customHeight="1">
      <c r="B840" s="35"/>
      <c r="C840" s="35"/>
      <c r="D840" s="35"/>
    </row>
    <row r="841" ht="15.75" customHeight="1">
      <c r="B841" s="35"/>
      <c r="C841" s="35"/>
      <c r="D841" s="35"/>
    </row>
    <row r="842" ht="15.75" customHeight="1">
      <c r="B842" s="35"/>
      <c r="C842" s="35"/>
      <c r="D842" s="35"/>
    </row>
    <row r="843" ht="15.75" customHeight="1">
      <c r="B843" s="35"/>
      <c r="C843" s="35"/>
      <c r="D843" s="35"/>
    </row>
    <row r="844" ht="15.75" customHeight="1">
      <c r="B844" s="35"/>
      <c r="C844" s="35"/>
      <c r="D844" s="35"/>
    </row>
    <row r="845" ht="15.75" customHeight="1">
      <c r="B845" s="35"/>
      <c r="C845" s="35"/>
      <c r="D845" s="35"/>
    </row>
    <row r="846" ht="15.75" customHeight="1">
      <c r="B846" s="35"/>
      <c r="C846" s="35"/>
      <c r="D846" s="35"/>
    </row>
    <row r="847" ht="15.75" customHeight="1">
      <c r="B847" s="35"/>
      <c r="C847" s="35"/>
      <c r="D847" s="35"/>
    </row>
    <row r="848" ht="15.75" customHeight="1">
      <c r="B848" s="35"/>
      <c r="C848" s="35"/>
      <c r="D848" s="35"/>
    </row>
    <row r="849" ht="15.75" customHeight="1">
      <c r="B849" s="35"/>
      <c r="C849" s="35"/>
      <c r="D849" s="35"/>
    </row>
    <row r="850" ht="15.75" customHeight="1">
      <c r="B850" s="35"/>
      <c r="C850" s="35"/>
      <c r="D850" s="35"/>
    </row>
    <row r="851" ht="15.75" customHeight="1">
      <c r="B851" s="35"/>
      <c r="C851" s="35"/>
      <c r="D851" s="35"/>
    </row>
    <row r="852" ht="15.75" customHeight="1">
      <c r="B852" s="35"/>
      <c r="C852" s="35"/>
      <c r="D852" s="35"/>
    </row>
    <row r="853" ht="15.75" customHeight="1">
      <c r="B853" s="35"/>
      <c r="C853" s="35"/>
      <c r="D853" s="35"/>
    </row>
    <row r="854" ht="15.75" customHeight="1">
      <c r="B854" s="35"/>
      <c r="C854" s="35"/>
      <c r="D854" s="35"/>
    </row>
    <row r="855" ht="15.75" customHeight="1">
      <c r="B855" s="35"/>
      <c r="C855" s="35"/>
      <c r="D855" s="35"/>
    </row>
    <row r="856" ht="15.75" customHeight="1">
      <c r="B856" s="35"/>
      <c r="C856" s="35"/>
      <c r="D856" s="35"/>
    </row>
    <row r="857" ht="15.75" customHeight="1">
      <c r="B857" s="35"/>
      <c r="C857" s="35"/>
      <c r="D857" s="35"/>
    </row>
    <row r="858" ht="15.75" customHeight="1">
      <c r="B858" s="35"/>
      <c r="C858" s="35"/>
      <c r="D858" s="35"/>
    </row>
    <row r="859" ht="15.75" customHeight="1">
      <c r="B859" s="35"/>
      <c r="C859" s="35"/>
      <c r="D859" s="35"/>
    </row>
    <row r="860" ht="15.75" customHeight="1">
      <c r="B860" s="35"/>
      <c r="C860" s="35"/>
      <c r="D860" s="35"/>
    </row>
    <row r="861" ht="15.75" customHeight="1">
      <c r="B861" s="35"/>
      <c r="C861" s="35"/>
      <c r="D861" s="35"/>
    </row>
    <row r="862" ht="15.75" customHeight="1">
      <c r="B862" s="35"/>
      <c r="C862" s="35"/>
      <c r="D862" s="35"/>
    </row>
    <row r="863" ht="15.75" customHeight="1">
      <c r="B863" s="35"/>
      <c r="C863" s="35"/>
      <c r="D863" s="35"/>
    </row>
    <row r="864" ht="15.75" customHeight="1">
      <c r="B864" s="35"/>
      <c r="C864" s="35"/>
      <c r="D864" s="35"/>
    </row>
    <row r="865" ht="15.75" customHeight="1">
      <c r="B865" s="35"/>
      <c r="C865" s="35"/>
      <c r="D865" s="35"/>
    </row>
    <row r="866" ht="15.75" customHeight="1">
      <c r="B866" s="35"/>
      <c r="C866" s="35"/>
      <c r="D866" s="35"/>
    </row>
    <row r="867" ht="15.75" customHeight="1">
      <c r="B867" s="35"/>
      <c r="C867" s="35"/>
      <c r="D867" s="35"/>
    </row>
    <row r="868" ht="15.75" customHeight="1">
      <c r="B868" s="35"/>
      <c r="C868" s="35"/>
      <c r="D868" s="35"/>
    </row>
    <row r="869" ht="15.75" customHeight="1">
      <c r="B869" s="35"/>
      <c r="C869" s="35"/>
      <c r="D869" s="35"/>
    </row>
    <row r="870" ht="15.75" customHeight="1">
      <c r="B870" s="35"/>
      <c r="C870" s="35"/>
      <c r="D870" s="35"/>
    </row>
    <row r="871" ht="15.75" customHeight="1">
      <c r="B871" s="35"/>
      <c r="C871" s="35"/>
      <c r="D871" s="35"/>
    </row>
    <row r="872" ht="15.75" customHeight="1">
      <c r="B872" s="35"/>
      <c r="C872" s="35"/>
      <c r="D872" s="35"/>
    </row>
    <row r="873" ht="15.75" customHeight="1">
      <c r="B873" s="35"/>
      <c r="C873" s="35"/>
      <c r="D873" s="35"/>
    </row>
    <row r="874" ht="15.75" customHeight="1">
      <c r="B874" s="35"/>
      <c r="C874" s="35"/>
      <c r="D874" s="35"/>
    </row>
    <row r="875" ht="15.75" customHeight="1">
      <c r="B875" s="35"/>
      <c r="C875" s="35"/>
      <c r="D875" s="35"/>
    </row>
    <row r="876" ht="15.75" customHeight="1">
      <c r="B876" s="35"/>
      <c r="C876" s="35"/>
      <c r="D876" s="35"/>
    </row>
    <row r="877" ht="15.75" customHeight="1">
      <c r="B877" s="35"/>
      <c r="C877" s="35"/>
      <c r="D877" s="35"/>
    </row>
    <row r="878" ht="15.75" customHeight="1">
      <c r="B878" s="35"/>
      <c r="C878" s="35"/>
      <c r="D878" s="35"/>
    </row>
    <row r="879" ht="15.75" customHeight="1">
      <c r="B879" s="35"/>
      <c r="C879" s="35"/>
      <c r="D879" s="35"/>
    </row>
    <row r="880" ht="15.75" customHeight="1">
      <c r="B880" s="35"/>
      <c r="C880" s="35"/>
      <c r="D880" s="35"/>
    </row>
    <row r="881" ht="15.75" customHeight="1">
      <c r="B881" s="35"/>
      <c r="C881" s="35"/>
      <c r="D881" s="35"/>
    </row>
    <row r="882" ht="15.75" customHeight="1">
      <c r="B882" s="35"/>
      <c r="C882" s="35"/>
      <c r="D882" s="35"/>
    </row>
    <row r="883" ht="15.75" customHeight="1">
      <c r="B883" s="35"/>
      <c r="C883" s="35"/>
      <c r="D883" s="35"/>
    </row>
    <row r="884" ht="15.75" customHeight="1">
      <c r="B884" s="35"/>
      <c r="C884" s="35"/>
      <c r="D884" s="35"/>
    </row>
    <row r="885" ht="15.75" customHeight="1">
      <c r="B885" s="35"/>
      <c r="C885" s="35"/>
      <c r="D885" s="35"/>
    </row>
    <row r="886" ht="15.75" customHeight="1">
      <c r="B886" s="35"/>
      <c r="C886" s="35"/>
      <c r="D886" s="35"/>
    </row>
    <row r="887" ht="15.75" customHeight="1">
      <c r="B887" s="35"/>
      <c r="C887" s="35"/>
      <c r="D887" s="35"/>
    </row>
    <row r="888" ht="15.75" customHeight="1">
      <c r="B888" s="35"/>
      <c r="C888" s="35"/>
      <c r="D888" s="35"/>
    </row>
    <row r="889" ht="15.75" customHeight="1">
      <c r="B889" s="35"/>
      <c r="C889" s="35"/>
      <c r="D889" s="35"/>
    </row>
    <row r="890" ht="15.75" customHeight="1">
      <c r="B890" s="35"/>
      <c r="C890" s="35"/>
      <c r="D890" s="35"/>
    </row>
    <row r="891" ht="15.75" customHeight="1">
      <c r="B891" s="35"/>
      <c r="C891" s="35"/>
      <c r="D891" s="35"/>
    </row>
    <row r="892" ht="15.75" customHeight="1">
      <c r="B892" s="35"/>
      <c r="C892" s="35"/>
      <c r="D892" s="35"/>
    </row>
    <row r="893" ht="15.75" customHeight="1">
      <c r="B893" s="35"/>
      <c r="C893" s="35"/>
      <c r="D893" s="35"/>
    </row>
    <row r="894" ht="15.75" customHeight="1">
      <c r="B894" s="35"/>
      <c r="C894" s="35"/>
      <c r="D894" s="35"/>
    </row>
    <row r="895" ht="15.75" customHeight="1">
      <c r="B895" s="35"/>
      <c r="C895" s="35"/>
      <c r="D895" s="35"/>
    </row>
    <row r="896" ht="15.75" customHeight="1">
      <c r="B896" s="35"/>
      <c r="C896" s="35"/>
      <c r="D896" s="35"/>
    </row>
    <row r="897" ht="15.75" customHeight="1">
      <c r="B897" s="35"/>
      <c r="C897" s="35"/>
      <c r="D897" s="35"/>
    </row>
    <row r="898" ht="15.75" customHeight="1">
      <c r="B898" s="35"/>
      <c r="C898" s="35"/>
      <c r="D898" s="35"/>
    </row>
    <row r="899" ht="15.75" customHeight="1">
      <c r="B899" s="35"/>
      <c r="C899" s="35"/>
      <c r="D899" s="35"/>
    </row>
    <row r="900" ht="15.75" customHeight="1">
      <c r="B900" s="35"/>
      <c r="C900" s="35"/>
      <c r="D900" s="35"/>
    </row>
    <row r="901" ht="15.75" customHeight="1">
      <c r="B901" s="35"/>
      <c r="C901" s="35"/>
      <c r="D901" s="35"/>
    </row>
    <row r="902" ht="15.75" customHeight="1">
      <c r="B902" s="35"/>
      <c r="C902" s="35"/>
      <c r="D902" s="35"/>
    </row>
    <row r="903" ht="15.75" customHeight="1">
      <c r="B903" s="35"/>
      <c r="C903" s="35"/>
      <c r="D903" s="35"/>
    </row>
    <row r="904" ht="15.75" customHeight="1">
      <c r="B904" s="35"/>
      <c r="C904" s="35"/>
      <c r="D904" s="35"/>
    </row>
    <row r="905" ht="15.75" customHeight="1">
      <c r="B905" s="35"/>
      <c r="C905" s="35"/>
      <c r="D905" s="35"/>
    </row>
    <row r="906" ht="15.75" customHeight="1">
      <c r="B906" s="35"/>
      <c r="C906" s="35"/>
      <c r="D906" s="35"/>
    </row>
    <row r="907" ht="15.75" customHeight="1">
      <c r="B907" s="35"/>
      <c r="C907" s="35"/>
      <c r="D907" s="35"/>
    </row>
    <row r="908" ht="15.75" customHeight="1">
      <c r="B908" s="35"/>
      <c r="C908" s="35"/>
      <c r="D908" s="35"/>
    </row>
    <row r="909" ht="15.75" customHeight="1">
      <c r="B909" s="35"/>
      <c r="C909" s="35"/>
      <c r="D909" s="35"/>
    </row>
    <row r="910" ht="15.75" customHeight="1">
      <c r="B910" s="35"/>
      <c r="C910" s="35"/>
      <c r="D910" s="35"/>
    </row>
    <row r="911" ht="15.75" customHeight="1">
      <c r="B911" s="35"/>
      <c r="C911" s="35"/>
      <c r="D911" s="35"/>
    </row>
    <row r="912" ht="15.75" customHeight="1">
      <c r="B912" s="35"/>
      <c r="C912" s="35"/>
      <c r="D912" s="35"/>
    </row>
    <row r="913" ht="15.75" customHeight="1">
      <c r="B913" s="35"/>
      <c r="C913" s="35"/>
      <c r="D913" s="35"/>
    </row>
    <row r="914" ht="15.75" customHeight="1">
      <c r="B914" s="35"/>
      <c r="C914" s="35"/>
      <c r="D914" s="35"/>
    </row>
    <row r="915" ht="15.75" customHeight="1">
      <c r="B915" s="35"/>
      <c r="C915" s="35"/>
      <c r="D915" s="35"/>
    </row>
    <row r="916" ht="15.75" customHeight="1">
      <c r="B916" s="35"/>
      <c r="C916" s="35"/>
      <c r="D916" s="35"/>
    </row>
    <row r="917" ht="15.75" customHeight="1">
      <c r="B917" s="35"/>
      <c r="C917" s="35"/>
      <c r="D917" s="35"/>
    </row>
    <row r="918" ht="15.75" customHeight="1">
      <c r="B918" s="35"/>
      <c r="C918" s="35"/>
      <c r="D918" s="35"/>
    </row>
    <row r="919" ht="15.75" customHeight="1">
      <c r="B919" s="35"/>
      <c r="C919" s="35"/>
      <c r="D919" s="35"/>
    </row>
    <row r="920" ht="15.75" customHeight="1">
      <c r="B920" s="35"/>
      <c r="C920" s="35"/>
      <c r="D920" s="35"/>
    </row>
    <row r="921" ht="15.75" customHeight="1">
      <c r="B921" s="35"/>
      <c r="C921" s="35"/>
      <c r="D921" s="35"/>
    </row>
    <row r="922" ht="15.75" customHeight="1">
      <c r="B922" s="35"/>
      <c r="C922" s="35"/>
      <c r="D922" s="35"/>
    </row>
    <row r="923" ht="15.75" customHeight="1">
      <c r="B923" s="35"/>
      <c r="C923" s="35"/>
      <c r="D923" s="35"/>
    </row>
    <row r="924" ht="15.75" customHeight="1">
      <c r="B924" s="35"/>
      <c r="C924" s="35"/>
      <c r="D924" s="35"/>
    </row>
    <row r="925" ht="15.75" customHeight="1">
      <c r="B925" s="35"/>
      <c r="C925" s="35"/>
      <c r="D925" s="35"/>
    </row>
    <row r="926" ht="15.75" customHeight="1">
      <c r="B926" s="35"/>
      <c r="C926" s="35"/>
      <c r="D926" s="35"/>
    </row>
    <row r="927" ht="15.75" customHeight="1">
      <c r="B927" s="35"/>
      <c r="C927" s="35"/>
      <c r="D927" s="35"/>
    </row>
    <row r="928" ht="15.75" customHeight="1">
      <c r="B928" s="35"/>
      <c r="C928" s="35"/>
      <c r="D928" s="35"/>
    </row>
    <row r="929" ht="15.75" customHeight="1">
      <c r="B929" s="35"/>
      <c r="C929" s="35"/>
      <c r="D929" s="35"/>
    </row>
    <row r="930" ht="15.75" customHeight="1">
      <c r="B930" s="35"/>
      <c r="C930" s="35"/>
      <c r="D930" s="35"/>
    </row>
    <row r="931" ht="15.75" customHeight="1">
      <c r="B931" s="35"/>
      <c r="C931" s="35"/>
      <c r="D931" s="35"/>
    </row>
    <row r="932" ht="15.75" customHeight="1">
      <c r="B932" s="35"/>
      <c r="C932" s="35"/>
      <c r="D932" s="35"/>
    </row>
    <row r="933" ht="15.75" customHeight="1">
      <c r="B933" s="35"/>
      <c r="C933" s="35"/>
      <c r="D933" s="35"/>
    </row>
    <row r="934" ht="15.75" customHeight="1">
      <c r="B934" s="35"/>
      <c r="C934" s="35"/>
      <c r="D934" s="35"/>
    </row>
    <row r="935" ht="15.75" customHeight="1">
      <c r="B935" s="35"/>
      <c r="C935" s="35"/>
      <c r="D935" s="35"/>
    </row>
    <row r="936" ht="15.75" customHeight="1">
      <c r="B936" s="35"/>
      <c r="C936" s="35"/>
      <c r="D936" s="35"/>
    </row>
    <row r="937" ht="15.75" customHeight="1">
      <c r="B937" s="35"/>
      <c r="C937" s="35"/>
      <c r="D937" s="35"/>
    </row>
    <row r="938" ht="15.75" customHeight="1">
      <c r="B938" s="35"/>
      <c r="C938" s="35"/>
      <c r="D938" s="35"/>
    </row>
    <row r="939" ht="15.75" customHeight="1">
      <c r="B939" s="35"/>
      <c r="C939" s="35"/>
      <c r="D939" s="35"/>
    </row>
    <row r="940" ht="15.75" customHeight="1">
      <c r="B940" s="35"/>
      <c r="C940" s="35"/>
      <c r="D940" s="35"/>
    </row>
    <row r="941" ht="15.75" customHeight="1">
      <c r="B941" s="35"/>
      <c r="C941" s="35"/>
      <c r="D941" s="35"/>
    </row>
    <row r="942" ht="15.75" customHeight="1">
      <c r="B942" s="35"/>
      <c r="C942" s="35"/>
      <c r="D942" s="35"/>
    </row>
    <row r="943" ht="15.75" customHeight="1">
      <c r="B943" s="35"/>
      <c r="C943" s="35"/>
      <c r="D943" s="35"/>
    </row>
    <row r="944" ht="15.75" customHeight="1">
      <c r="B944" s="35"/>
      <c r="C944" s="35"/>
      <c r="D944" s="35"/>
    </row>
    <row r="945" ht="15.75" customHeight="1">
      <c r="B945" s="35"/>
      <c r="C945" s="35"/>
      <c r="D945" s="35"/>
    </row>
    <row r="946" ht="15.75" customHeight="1">
      <c r="B946" s="35"/>
      <c r="C946" s="35"/>
      <c r="D946" s="35"/>
    </row>
    <row r="947" ht="15.75" customHeight="1">
      <c r="B947" s="35"/>
      <c r="C947" s="35"/>
      <c r="D947" s="35"/>
    </row>
    <row r="948" ht="15.75" customHeight="1">
      <c r="B948" s="35"/>
      <c r="C948" s="35"/>
      <c r="D948" s="35"/>
    </row>
    <row r="949" ht="15.75" customHeight="1">
      <c r="B949" s="35"/>
      <c r="C949" s="35"/>
      <c r="D949" s="35"/>
    </row>
    <row r="950" ht="15.75" customHeight="1">
      <c r="B950" s="35"/>
      <c r="C950" s="35"/>
      <c r="D950" s="35"/>
    </row>
    <row r="951" ht="15.75" customHeight="1">
      <c r="B951" s="35"/>
      <c r="C951" s="35"/>
      <c r="D951" s="35"/>
    </row>
    <row r="952" ht="15.75" customHeight="1">
      <c r="B952" s="35"/>
      <c r="C952" s="35"/>
      <c r="D952" s="35"/>
    </row>
    <row r="953" ht="15.75" customHeight="1">
      <c r="B953" s="35"/>
      <c r="C953" s="35"/>
      <c r="D953" s="35"/>
    </row>
    <row r="954" ht="15.75" customHeight="1">
      <c r="B954" s="35"/>
      <c r="C954" s="35"/>
      <c r="D954" s="35"/>
    </row>
    <row r="955" ht="15.75" customHeight="1">
      <c r="B955" s="35"/>
      <c r="C955" s="35"/>
      <c r="D955" s="35"/>
    </row>
    <row r="956" ht="15.75" customHeight="1">
      <c r="B956" s="35"/>
      <c r="C956" s="35"/>
      <c r="D956" s="35"/>
    </row>
    <row r="957" ht="15.75" customHeight="1">
      <c r="B957" s="35"/>
      <c r="C957" s="35"/>
      <c r="D957" s="35"/>
    </row>
    <row r="958" ht="15.75" customHeight="1">
      <c r="B958" s="35"/>
      <c r="C958" s="35"/>
      <c r="D958" s="35"/>
    </row>
    <row r="959" ht="15.75" customHeight="1">
      <c r="B959" s="35"/>
      <c r="C959" s="35"/>
      <c r="D959" s="35"/>
    </row>
    <row r="960" ht="15.75" customHeight="1">
      <c r="B960" s="35"/>
      <c r="C960" s="35"/>
      <c r="D960" s="35"/>
    </row>
    <row r="961" ht="15.75" customHeight="1">
      <c r="B961" s="35"/>
      <c r="C961" s="35"/>
      <c r="D961" s="35"/>
    </row>
    <row r="962" ht="15.75" customHeight="1">
      <c r="B962" s="35"/>
      <c r="C962" s="35"/>
      <c r="D962" s="35"/>
    </row>
    <row r="963" ht="15.75" customHeight="1">
      <c r="B963" s="35"/>
      <c r="C963" s="35"/>
      <c r="D963" s="35"/>
    </row>
    <row r="964" ht="15.75" customHeight="1">
      <c r="B964" s="35"/>
      <c r="C964" s="35"/>
      <c r="D964" s="35"/>
    </row>
    <row r="965" ht="15.75" customHeight="1">
      <c r="B965" s="35"/>
      <c r="C965" s="35"/>
      <c r="D965" s="35"/>
    </row>
    <row r="966" ht="15.75" customHeight="1">
      <c r="B966" s="35"/>
      <c r="C966" s="35"/>
      <c r="D966" s="35"/>
    </row>
    <row r="967" ht="15.75" customHeight="1">
      <c r="B967" s="35"/>
      <c r="C967" s="35"/>
      <c r="D967" s="35"/>
    </row>
    <row r="968" ht="15.75" customHeight="1">
      <c r="B968" s="35"/>
      <c r="C968" s="35"/>
      <c r="D968" s="35"/>
    </row>
    <row r="969" ht="15.75" customHeight="1">
      <c r="B969" s="35"/>
      <c r="C969" s="35"/>
      <c r="D969" s="35"/>
    </row>
    <row r="970" ht="15.75" customHeight="1">
      <c r="B970" s="35"/>
      <c r="C970" s="35"/>
      <c r="D970" s="35"/>
    </row>
    <row r="971" ht="15.75" customHeight="1">
      <c r="B971" s="35"/>
      <c r="C971" s="35"/>
      <c r="D971" s="35"/>
    </row>
    <row r="972" ht="15.75" customHeight="1">
      <c r="B972" s="35"/>
      <c r="C972" s="35"/>
      <c r="D972" s="35"/>
    </row>
    <row r="973" ht="15.75" customHeight="1">
      <c r="B973" s="35"/>
      <c r="C973" s="35"/>
      <c r="D973" s="35"/>
    </row>
    <row r="974" ht="15.75" customHeight="1">
      <c r="B974" s="35"/>
      <c r="C974" s="35"/>
      <c r="D974" s="35"/>
    </row>
    <row r="975" ht="15.75" customHeight="1">
      <c r="B975" s="35"/>
      <c r="C975" s="35"/>
      <c r="D975" s="35"/>
    </row>
    <row r="976" ht="15.75" customHeight="1">
      <c r="B976" s="35"/>
      <c r="C976" s="35"/>
      <c r="D976" s="35"/>
    </row>
    <row r="977" ht="15.75" customHeight="1">
      <c r="B977" s="35"/>
      <c r="C977" s="35"/>
      <c r="D977" s="35"/>
    </row>
    <row r="978" ht="15.75" customHeight="1">
      <c r="B978" s="35"/>
      <c r="C978" s="35"/>
      <c r="D978" s="35"/>
    </row>
    <row r="979" ht="15.75" customHeight="1">
      <c r="B979" s="35"/>
      <c r="C979" s="35"/>
      <c r="D979" s="35"/>
    </row>
    <row r="980" ht="15.75" customHeight="1">
      <c r="B980" s="35"/>
      <c r="C980" s="35"/>
      <c r="D980" s="35"/>
    </row>
    <row r="981" ht="15.75" customHeight="1">
      <c r="B981" s="35"/>
      <c r="C981" s="35"/>
      <c r="D981" s="35"/>
    </row>
    <row r="982" ht="15.75" customHeight="1">
      <c r="B982" s="35"/>
      <c r="C982" s="35"/>
      <c r="D982" s="35"/>
    </row>
    <row r="983" ht="15.75" customHeight="1">
      <c r="B983" s="35"/>
      <c r="C983" s="35"/>
      <c r="D983" s="35"/>
    </row>
    <row r="984" ht="15.75" customHeight="1">
      <c r="B984" s="35"/>
      <c r="C984" s="35"/>
      <c r="D984" s="35"/>
    </row>
    <row r="985" ht="15.75" customHeight="1">
      <c r="B985" s="35"/>
      <c r="C985" s="35"/>
      <c r="D985" s="35"/>
    </row>
    <row r="986" ht="15.75" customHeight="1">
      <c r="B986" s="35"/>
      <c r="C986" s="35"/>
      <c r="D986" s="35"/>
    </row>
    <row r="987" ht="15.75" customHeight="1">
      <c r="B987" s="35"/>
      <c r="C987" s="35"/>
      <c r="D987" s="35"/>
    </row>
    <row r="988" ht="15.75" customHeight="1">
      <c r="B988" s="35"/>
      <c r="C988" s="35"/>
      <c r="D988" s="35"/>
    </row>
    <row r="989" ht="15.75" customHeight="1">
      <c r="B989" s="35"/>
      <c r="C989" s="35"/>
      <c r="D989" s="35"/>
    </row>
    <row r="990" ht="15.75" customHeight="1">
      <c r="B990" s="35"/>
      <c r="C990" s="35"/>
      <c r="D990" s="35"/>
    </row>
    <row r="991" ht="15.75" customHeight="1">
      <c r="B991" s="35"/>
      <c r="C991" s="35"/>
      <c r="D991" s="35"/>
    </row>
    <row r="992" ht="15.75" customHeight="1">
      <c r="B992" s="35"/>
      <c r="C992" s="35"/>
      <c r="D992" s="35"/>
    </row>
    <row r="993" ht="15.75" customHeight="1">
      <c r="B993" s="35"/>
      <c r="C993" s="35"/>
      <c r="D993" s="35"/>
    </row>
    <row r="994" ht="15.75" customHeight="1">
      <c r="B994" s="35"/>
      <c r="C994" s="35"/>
      <c r="D994" s="35"/>
    </row>
    <row r="995" ht="15.75" customHeight="1">
      <c r="B995" s="35"/>
      <c r="C995" s="35"/>
      <c r="D995" s="35"/>
    </row>
    <row r="996" ht="15.75" customHeight="1">
      <c r="B996" s="35"/>
      <c r="C996" s="35"/>
      <c r="D996" s="35"/>
    </row>
    <row r="997" ht="15.75" customHeight="1">
      <c r="B997" s="35"/>
      <c r="C997" s="35"/>
      <c r="D997" s="35"/>
    </row>
    <row r="998" ht="15.75" customHeight="1">
      <c r="B998" s="35"/>
      <c r="C998" s="35"/>
      <c r="D998" s="35"/>
    </row>
    <row r="999" ht="15.75" customHeight="1">
      <c r="B999" s="35"/>
      <c r="C999" s="35"/>
      <c r="D999" s="35"/>
    </row>
    <row r="1000" ht="15.75" customHeight="1">
      <c r="B1000" s="35"/>
      <c r="C1000" s="35"/>
      <c r="D1000" s="35"/>
    </row>
    <row r="1001" ht="15.75" customHeight="1">
      <c r="B1001" s="35"/>
      <c r="C1001" s="35"/>
      <c r="D1001" s="35"/>
    </row>
  </sheetData>
  <mergeCells count="28">
    <mergeCell ref="H3:H4"/>
    <mergeCell ref="I3:J3"/>
    <mergeCell ref="H6:H7"/>
    <mergeCell ref="H11:H12"/>
    <mergeCell ref="H16:H17"/>
    <mergeCell ref="H21:H22"/>
    <mergeCell ref="H26:H27"/>
    <mergeCell ref="H31:H32"/>
    <mergeCell ref="A1:J1"/>
    <mergeCell ref="A2:A4"/>
    <mergeCell ref="B2:B4"/>
    <mergeCell ref="C2:C4"/>
    <mergeCell ref="D2:D4"/>
    <mergeCell ref="E2:J2"/>
    <mergeCell ref="E3:E4"/>
    <mergeCell ref="A5:J5"/>
    <mergeCell ref="H58:H59"/>
    <mergeCell ref="H63:H64"/>
    <mergeCell ref="H68:H69"/>
    <mergeCell ref="G76:G77"/>
    <mergeCell ref="E78:F78"/>
    <mergeCell ref="F3:F4"/>
    <mergeCell ref="G3:G4"/>
    <mergeCell ref="E41:G41"/>
    <mergeCell ref="A42:J42"/>
    <mergeCell ref="H43:H44"/>
    <mergeCell ref="H48:H49"/>
    <mergeCell ref="H53:H54"/>
  </mergeCells>
  <hyperlinks>
    <hyperlink r:id="rId2" ref="H6"/>
    <hyperlink r:id="rId3" location="slide=id.p1" ref="E9"/>
    <hyperlink r:id="rId4" ref="H11"/>
    <hyperlink r:id="rId5" location="slide=id.p1" ref="E14"/>
    <hyperlink r:id="rId6" ref="H16"/>
    <hyperlink r:id="rId7" location="slide=id.p1" ref="E19"/>
    <hyperlink r:id="rId8" ref="H21"/>
    <hyperlink r:id="rId9" ref="E23"/>
    <hyperlink r:id="rId10" location="slide=id.p1" ref="E24"/>
    <hyperlink r:id="rId11" ref="H26"/>
    <hyperlink r:id="rId12" ref="E28"/>
    <hyperlink r:id="rId13" location="slide=id.p4" ref="E29"/>
    <hyperlink r:id="rId14" ref="H31"/>
    <hyperlink r:id="rId15" location="slide=id.p1" ref="E34"/>
    <hyperlink r:id="rId16" ref="E41"/>
    <hyperlink r:id="rId17" ref="H43"/>
    <hyperlink r:id="rId18" location="slide=id.p1" ref="E46"/>
    <hyperlink r:id="rId19" ref="H48"/>
    <hyperlink r:id="rId20" location="slide=id.p15" ref="E51"/>
    <hyperlink r:id="rId21" ref="H53"/>
    <hyperlink r:id="rId22" location="slide=id.p1" ref="E56"/>
    <hyperlink r:id="rId23" ref="H58"/>
    <hyperlink r:id="rId24" location="slide=id.p1" ref="E61"/>
    <hyperlink r:id="rId25" ref="H63"/>
    <hyperlink r:id="rId26" location="slide=id.p12" ref="E66"/>
    <hyperlink r:id="rId27" ref="H68"/>
    <hyperlink r:id="rId28" location="slide=id.p8" ref="E71"/>
    <hyperlink r:id="rId29" ref="G76"/>
    <hyperlink r:id="rId30" location="slide=id.p10" ref="E78"/>
    <hyperlink r:id="rId31" ref="G78"/>
  </hyperlinks>
  <printOptions/>
  <pageMargins bottom="0.75" footer="0.0" header="0.0" left="0.7" right="0.7" top="0.75"/>
  <pageSetup fitToHeight="0" paperSize="9" orientation="landscape"/>
  <drawing r:id="rId32"/>
  <legacy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71"/>
    <col customWidth="1" min="3" max="3" width="67.57"/>
  </cols>
  <sheetData>
    <row r="1">
      <c r="A1" s="6"/>
      <c r="B1" s="6"/>
      <c r="C1" s="6"/>
      <c r="D1" s="6"/>
    </row>
    <row r="2">
      <c r="A2" s="6"/>
      <c r="B2" s="6"/>
      <c r="C2" s="6"/>
      <c r="D2" s="6"/>
    </row>
    <row r="3" ht="24.0" customHeight="1">
      <c r="A3" s="6"/>
      <c r="B3" s="6"/>
      <c r="C3" s="6"/>
      <c r="D3" s="6"/>
    </row>
    <row r="4" ht="30.75" customHeight="1">
      <c r="A4" s="6"/>
      <c r="B4" s="10" t="s">
        <v>6</v>
      </c>
      <c r="C4" s="12" t="s">
        <v>12</v>
      </c>
      <c r="D4" s="6"/>
    </row>
    <row r="5" ht="20.25" customHeight="1">
      <c r="A5" s="6"/>
      <c r="B5" s="14" t="s">
        <v>2</v>
      </c>
      <c r="C5" s="16" t="s">
        <v>14</v>
      </c>
      <c r="D5" s="6"/>
      <c r="E5" s="19"/>
    </row>
    <row r="6" ht="34.5" customHeight="1">
      <c r="A6" s="6"/>
      <c r="B6" s="14" t="s">
        <v>17</v>
      </c>
      <c r="C6" s="22" t="str">
        <f>vlookup($C$5,'Sun 1'!$B$6:$J$78,2,0)</f>
        <v>UNIT 10
AT THE FUNFAIR</v>
      </c>
      <c r="D6" s="6"/>
    </row>
    <row r="7" ht="34.5" customHeight="1">
      <c r="A7" s="6"/>
      <c r="B7" s="14" t="s">
        <v>20</v>
      </c>
      <c r="C7" s="22" t="str">
        <f>vlookup($C$5,'Sun 1'!$B$6:$J$78,3,0)</f>
        <v>74-75</v>
      </c>
      <c r="D7" s="6"/>
    </row>
    <row r="8" ht="58.5" customHeight="1">
      <c r="A8" s="6"/>
      <c r="B8" s="26" t="s">
        <v>22</v>
      </c>
      <c r="C8" s="28" t="str">
        <f>vlookup($C$5,'Sun 1'!$B$6:$J$78,4,0)</f>
        <v>- Pronunciation: /u/
- The story
+ Walk around London</v>
      </c>
      <c r="D8" s="6"/>
    </row>
    <row r="9" ht="45.75" customHeight="1">
      <c r="A9" s="6"/>
      <c r="B9" s="26" t="s">
        <v>25</v>
      </c>
      <c r="C9" s="28" t="str">
        <f>vlookup($C$5,'Sun 1'!$B$6:$J$78,5,0)</f>
        <v>/u/-duck, under, bus
The ducks are under the bus.</v>
      </c>
      <c r="D9" s="6"/>
    </row>
    <row r="10" ht="46.5" customHeight="1">
      <c r="A10" s="6"/>
      <c r="B10" s="14" t="s">
        <v>9</v>
      </c>
      <c r="C10" s="28" t="str">
        <f>vlookup($C$5,'Sun 1'!$B$6:$J$78,6,0)</f>
        <v>- Student learn some words start with /u/ sound in "Say it with Monty".
- With the story, make 3 question so students answer them after the story.
- With videos, students can know what they see in London.</v>
      </c>
      <c r="D10" s="6"/>
    </row>
    <row r="11" ht="33.75" customHeight="1">
      <c r="A11" s="6"/>
      <c r="B11" s="29" t="s">
        <v>27</v>
      </c>
      <c r="C11" s="30">
        <f>vlookup($C$5,'Sun 1'!$B$6:$J$78,8,0)</f>
        <v>39</v>
      </c>
      <c r="D11" s="6"/>
    </row>
    <row r="12" ht="36.75" customHeight="1">
      <c r="A12" s="6"/>
      <c r="B12" s="29" t="s">
        <v>28</v>
      </c>
      <c r="C12" s="33" t="s">
        <v>29</v>
      </c>
      <c r="D12" s="6"/>
    </row>
    <row r="13">
      <c r="A13" s="6"/>
      <c r="B13" s="6"/>
      <c r="C13" s="6"/>
      <c r="D13" s="6"/>
    </row>
  </sheetData>
  <drawing r:id="rId1"/>
  <tableParts count="1">
    <tablePart r:id="rId3"/>
  </tableParts>
</worksheet>
</file>
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n 3 old" sheetId="1" r:id="rId5"/>
    <sheet state="visible" name="Sun 3" sheetId="2" r:id="rId6"/>
    <sheet state="visible" name="Trang tính2" sheetId="3" r:id="rId7"/>
  </sheets>
  <definedNames/>
  <calcPr/>
</workbook>
</file>

<file path=xl/sharedStrings.xml><?xml version="1.0" encoding="utf-8"?>
<sst xmlns="http://schemas.openxmlformats.org/spreadsheetml/2006/main" count="995" uniqueCount="467">
  <si>
    <t>SUN 3 SYLLABUS</t>
  </si>
  <si>
    <t>Grade</t>
  </si>
  <si>
    <t>DATES</t>
  </si>
  <si>
    <t xml:space="preserve"> </t>
  </si>
  <si>
    <t>Galax 3</t>
  </si>
  <si>
    <t>LESSONS</t>
  </si>
  <si>
    <t>UNITS</t>
  </si>
  <si>
    <t>Student's book
PAGES</t>
  </si>
  <si>
    <t>CONTENTS</t>
  </si>
  <si>
    <t>Materials</t>
  </si>
  <si>
    <t>Vocabulary</t>
  </si>
  <si>
    <t>Structures/Grammar</t>
  </si>
  <si>
    <t>Lesson target</t>
  </si>
  <si>
    <t>Homework</t>
  </si>
  <si>
    <t>Activity book</t>
  </si>
  <si>
    <t>Activity book pages
(Assigned by teachers)</t>
  </si>
  <si>
    <t>Handbook</t>
  </si>
  <si>
    <t>E-learning
(Assigned by CM)</t>
  </si>
  <si>
    <t>TERM A (UNIT HELLO! - UNIT 4)</t>
  </si>
  <si>
    <t xml:space="preserve">Student's book
 &amp; Activity's book pages 
</t>
  </si>
  <si>
    <t>Vocabulary
(Từ vựng)</t>
  </si>
  <si>
    <t>Structures
(Cấu trúc)</t>
  </si>
  <si>
    <t>UNIT 0
HELLO!</t>
  </si>
  <si>
    <t>LESSON 1</t>
  </si>
  <si>
    <t>4-5</t>
  </si>
  <si>
    <t>- Introduce characters: Simon, Suzy, Stella, Mr. Star, Mrs. Star, Grandma Star, Grandpa Star, Lenny, Alex, Meera 
- Story characters: Lock and Key
- Numbers: 11 to 20</t>
  </si>
  <si>
    <t>- What's your name?
- How old are you?
- Have you got a brother or a sister?
- What's your favorite toy called?</t>
  </si>
  <si>
    <t>- Students can introduce themsleves with simple sentences
- Students remember the characters</t>
  </si>
  <si>
    <t>- Introduce characters: Simon, Suzy, Stella, Mr. Star, Mrs. Star, Grandma Star, Grandpa Star, Lenny, Alex, Meera 
- Story characters: Lock and Key</t>
  </si>
  <si>
    <t>Vocabulary 1 &amp; 2</t>
  </si>
  <si>
    <t>LESSON 2</t>
  </si>
  <si>
    <t>- Review characters
- Reading: At school</t>
  </si>
  <si>
    <t>- Review characters
- Reading: At school
- Sing a song</t>
  </si>
  <si>
    <t>- Present continuous
- What's Suzy doing?
She is jumping.
- I've got….</t>
  </si>
  <si>
    <t>- Students review the characters.
- Students practice and use grammar correctly
- Students can sing a song together.</t>
  </si>
  <si>
    <t>- Present continuous
- What's Suzy doing?
She is jumping.</t>
  </si>
  <si>
    <t>- Students review the characters.
- Students practice and use grammar correctly</t>
  </si>
  <si>
    <t>Vocabulary 3
Grammar 2</t>
  </si>
  <si>
    <t>Vocabulary 3
Grammar 1-3</t>
  </si>
  <si>
    <t>8-9</t>
  </si>
  <si>
    <t>LESSON 3</t>
  </si>
  <si>
    <t>- Names: Mary, Sally, Paul, Fred, Jim, Vicky.
- Sing a song</t>
  </si>
  <si>
    <t>- Review present continuous
- I've got….</t>
  </si>
  <si>
    <t>- Students review the grammar.
- Students can sing a song together.</t>
  </si>
  <si>
    <t>Grammar 1 &amp; 3</t>
  </si>
  <si>
    <t>- Sounds and spelling: i-e, y, ay, ai, ei, a-e, ey
- Activities: ride a bike, play badminton, swim, play the piano, sing, play football.
- Story: Lock and Key</t>
  </si>
  <si>
    <t>LESSON 4</t>
  </si>
  <si>
    <t>The spiders ride, fly and drive from nine to five
They play and paint from eight to late.
- Can you (ride a bike)?
+ Yes, I can./ No, I can't.
- Present continuous</t>
  </si>
  <si>
    <t>- Student learn some words start with /j/ and /ch/ sound. Encourage students to say more words.
- With the story, make 3 questions so students will answer them after the story</t>
  </si>
  <si>
    <t>- Stella's phonics: Rhyming words
- Activities: ride a bike, play badminton, swim, play the piano, sing, play football.
- Story: Lock and Key</t>
  </si>
  <si>
    <t>- /o/ - Hello, yellow
- /e/ - Red, head
- /i/ - Clean, green
- Can you (ride a bike)?
+ Yes, I can./ No, I can't.
- Present continuous</t>
  </si>
  <si>
    <t>Reading 1 &amp; 2</t>
  </si>
  <si>
    <t>LESSON 5</t>
  </si>
  <si>
    <t>REVIEW</t>
  </si>
  <si>
    <t>REVIEW + SPEAKING PROJECT</t>
  </si>
  <si>
    <t>Review Unit 0 vocabulary
- Characters
- Activities</t>
  </si>
  <si>
    <t>- What's your name?
- How old are you?
- Have you got a brother or a sister?
- What's your favorite toy called?
- What's Suzy doing?
She is jumping.</t>
  </si>
  <si>
    <t>Students review the vocabulary and structures</t>
  </si>
  <si>
    <t>Unit 0 Home booklet</t>
  </si>
  <si>
    <r>
      <rPr>
        <rFont val="Calibri"/>
        <color theme="1"/>
        <sz val="12.0"/>
      </rPr>
      <t xml:space="preserve">Review Unit 0 vocabulary
- Characters
- Activities
</t>
    </r>
    <r>
      <rPr>
        <rFont val="Calibri"/>
        <b/>
        <color theme="1"/>
        <sz val="12.0"/>
      </rPr>
      <t>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Unit 0 Speaking Project</t>
    </r>
  </si>
  <si>
    <t>Unit 0 Game 1 &amp; 2</t>
  </si>
  <si>
    <t>LESSON 6</t>
  </si>
  <si>
    <t>UNIT 1
FAMILY MATTERS</t>
  </si>
  <si>
    <t>No homework</t>
  </si>
  <si>
    <t>10-11</t>
  </si>
  <si>
    <t>- Family members: aunt, daughter, granddaughter, grandson, grandparents, son, uncle.
- Actions: Playing a game, reading, playing football, painting, taking a photo.</t>
  </si>
  <si>
    <t>- Who is Stella's uncle?
- Who is Suzy's aunt?
- Suzy's sitting next to her mother.</t>
  </si>
  <si>
    <t>- Students understand the family tree and know how to recognize their family members.
- Students can use present continuous to talk about family.</t>
  </si>
  <si>
    <t>LESSON 7</t>
  </si>
  <si>
    <t>- Who is Stella's uncle?
- Who is Suzy's aunt?
- Present continuous review</t>
  </si>
  <si>
    <t>12-13</t>
  </si>
  <si>
    <t>- Review family members
- Reading: Aunt May
- Sing a song</t>
  </si>
  <si>
    <t>- Enjoy + V-ing
- Want + to V</t>
  </si>
  <si>
    <t>- Students know when to use "enjoy" and "want".
- Students can draw their family tree.
- Students can sing a song together.</t>
  </si>
  <si>
    <t>Vocabulary 3</t>
  </si>
  <si>
    <t>LESSON 8</t>
  </si>
  <si>
    <t>Grammar 1</t>
  </si>
  <si>
    <t>LESSON 9</t>
  </si>
  <si>
    <t>14-15</t>
  </si>
  <si>
    <t>- Stella's phonics: Long vowel sounds: "ay" and "ar"
- Story: Lock and Key
- Writing: Write about friend's hobbies
- Watch a video:
+ Kid's Box Art show.</t>
  </si>
  <si>
    <t>- Present simple: Questions form
Do you like playing on your laptop?
Yes, I do./ No, I don't.</t>
  </si>
  <si>
    <t>- Student learn some words start with /ay/ and /ar/ sounds. Encourage students to say more words.
- With the story, make 3 questions so students will answer them after the story
- With writing, students can write at least 15 words.</t>
  </si>
  <si>
    <t>Grammar 2
Reading 1</t>
  </si>
  <si>
    <t>- Reading: Aunt May
- Sing a song</t>
  </si>
  <si>
    <t>- Students know when to use "enjoy" and "want".
- Students can sing a song together.</t>
  </si>
  <si>
    <t>LESSON 10</t>
  </si>
  <si>
    <t>16-17</t>
  </si>
  <si>
    <t>- Art: Portraits
Oil paintings, artist, self-portrait</t>
  </si>
  <si>
    <t>- Like and love
- Present continuous review</t>
  </si>
  <si>
    <t>- Students understand the topic and review the grammar.</t>
  </si>
  <si>
    <t>10 &amp; 13</t>
  </si>
  <si>
    <t>Reading 2
Grammar 3</t>
  </si>
  <si>
    <t>LESSON 11</t>
  </si>
  <si>
    <t>Review Family members: aunt, daughter, granddaughter, grandson, grandparents, son, uncle</t>
  </si>
  <si>
    <t>- Who is Stella's uncle?
- Who is Suzy's aunt?
- Enjoy + V-ing
- Want + to V</t>
  </si>
  <si>
    <t>- Students review family members and use vocabulary to describe family tree
- Students review enjoy and want to talk/write about their family</t>
  </si>
  <si>
    <r>
      <rPr>
        <rFont val="Calibri"/>
        <color theme="1"/>
        <sz val="12.0"/>
      </rPr>
      <t>-Review Unit 1 vocabulary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</si>
  <si>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 xml:space="preserve">UNIT 1
FAMILY MATTERS </t>
  </si>
  <si>
    <t>14-15 + SPEAKING PROJECT</t>
  </si>
  <si>
    <r>
      <rPr>
        <rFont val="Calibri"/>
        <color theme="1"/>
        <sz val="12.0"/>
      </rPr>
      <t>''- Sounds and spelling: er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1_Speaking Project_Family Matters.pptx</t>
    </r>
  </si>
  <si>
    <t>Unit 1 Home booklet</t>
  </si>
  <si>
    <t>Unit 1 Game 1 &amp; 2</t>
  </si>
  <si>
    <t>LESSON 12</t>
  </si>
  <si>
    <t>UNIT 2
HOME SWEET HOME</t>
  </si>
  <si>
    <t>18-19</t>
  </si>
  <si>
    <t>- Houses: upstairs, downstairs, stairs, basement
- Flat: lift, balcony
- Places: village, town, house, flat.
- Sing a song</t>
  </si>
  <si>
    <t>- My house has got a basement.
- My flat hasn't got three bedrooms.</t>
  </si>
  <si>
    <t>- Students remember new words
- Students understand the differences between house and flat.
- Students can use grammar to talk about their house/flat.
- Students can sing a song together.</t>
  </si>
  <si>
    <t>Vocabulary 1 &amp; 3</t>
  </si>
  <si>
    <t>LESSON 13</t>
  </si>
  <si>
    <t>Bread, butter, burgers - What's for dinner?
Father, mother, brother and sister love making dinner</t>
  </si>
  <si>
    <t>20-21</t>
  </si>
  <si>
    <t>- Review the vocabulary
- Reading: Meera moves to a new flat.
- Numbers: 12 to 100</t>
  </si>
  <si>
    <t>- Present continuous
- Present simple: Talk about address
- What's your address?
It's 72 Station Road.</t>
  </si>
  <si>
    <t>- Students review the numbers.
- Students can use numbers to talk about their house/falt address.</t>
  </si>
  <si>
    <t>Vocabulary 2</t>
  </si>
  <si>
    <t>LESSON 14</t>
  </si>
  <si>
    <t>Grammar 2</t>
  </si>
  <si>
    <t>LESSON 15</t>
  </si>
  <si>
    <t>Math: Measuring
- Math function: Addition, subtraction, multiplication, division
- Symbol: plus, minus, times, divided by, equals, is greater than, is less than</t>
  </si>
  <si>
    <t>22-23</t>
  </si>
  <si>
    <t>How tall am I?
How long is my foot?
How wide is my hand?
How wide is my English book?
How long is my hair?</t>
  </si>
  <si>
    <t>- Stella's phonics: Long vowel sounds: "oa" and "ou".
- Story: Lock and Key
- Writing: Make a contact table</t>
  </si>
  <si>
    <t>Students understand the topic and review the grammar.</t>
  </si>
  <si>
    <t>- What's your name?
- Where do you live?
- What's your address?
- What's your phone number?</t>
  </si>
  <si>
    <t>- Student learn some words start with 'oa' and 'ou' sounds. Encourage students to say more words.
- With the story, make 3 questions so students will answer them after the story</t>
  </si>
  <si>
    <t>LESSON 16</t>
  </si>
  <si>
    <t>24-25</t>
  </si>
  <si>
    <t>- Geography: Homes
garden, lift, shops, tree, flower, big, car, bird, small, lorry, street.</t>
  </si>
  <si>
    <t>- I'd like to live in a castle because it's got a big garden.</t>
  </si>
  <si>
    <t>- Students understand the topic.
- Students can talk about their places they want to live and explain the reason.</t>
  </si>
  <si>
    <t>REVIEW
&amp;
TEST</t>
  </si>
  <si>
    <t>LESSON 17</t>
  </si>
  <si>
    <t>- Review Unit 1 vocabulary and grammar
- Unit 1 paper test</t>
  </si>
  <si>
    <r>
      <rPr>
        <rFont val="Calibri"/>
        <color theme="1"/>
        <sz val="12.0"/>
      </rPr>
      <t>-Review Unit 2 vocabulary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</si>
  <si>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2 Home booklet</t>
  </si>
  <si>
    <t>Unit 2 Game 1 &amp; 2</t>
  </si>
  <si>
    <t>LESSON 18</t>
  </si>
  <si>
    <t>UNIT 3
A DAY IN THE LIFE</t>
  </si>
  <si>
    <t>28-29</t>
  </si>
  <si>
    <t>- Routines: get dressed/ undressed, get up, go to bed, have a shower, put on, wake up, take off, wash, catch the bus, do homework
- Sing a song activity</t>
  </si>
  <si>
    <t>- What time does she wake up?
She wakes up at seven o'clock.
- What do you do before/after breakfast?</t>
  </si>
  <si>
    <t>- Students understand the topic and remember the vocabulary.
- Students can talk aout their daily routines.
- Students can sing a song together.</t>
  </si>
  <si>
    <t>LESSON 19</t>
  </si>
  <si>
    <t>30-31</t>
  </si>
  <si>
    <t>- Reading: Meera moves to a new flat.
- Numbers: 12 to 100</t>
  </si>
  <si>
    <t>- Review routines
- Days of the week
- Adverbs: always, sometimes, never</t>
  </si>
  <si>
    <t>- He never plays in the park on Monday.
- I always ride my bike on Tuesday.</t>
  </si>
  <si>
    <t>- Students can use adverbs to talk about their daily routines</t>
  </si>
  <si>
    <t>LESSON 20</t>
  </si>
  <si>
    <t>LESSON 21</t>
  </si>
  <si>
    <t>18 &amp; 21</t>
  </si>
  <si>
    <t>32-33</t>
  </si>
  <si>
    <t>- Stella's phonics: Long vowel sounds: /or/
- Story: Lock and Key
- Writing: Answer the questions on page 32
- Watch a video
+ At the fire station.</t>
  </si>
  <si>
    <t>Review
- Houses: upstairs, downstairs, stairs, basement
- Flat: lift, balcony
- Places: village, town, house, flat.
- Numbers: 12 to 100</t>
  </si>
  <si>
    <t>How often do you....?
I always/sometimes/never/......</t>
  </si>
  <si>
    <t>- My house has got a basement.
- My flat hasn't got three bedrooms.
- What's your address?
It's 72 Station Road.</t>
  </si>
  <si>
    <t>Grammar 2 &amp; 3</t>
  </si>
  <si>
    <t>LESSON 22</t>
  </si>
  <si>
    <t>34-35</t>
  </si>
  <si>
    <t>- Science: The heart
+ heart beat, blood from/to the body/lúng, oxygen, pulse, quick, slow</t>
  </si>
  <si>
    <t>Present simpe tense</t>
  </si>
  <si>
    <t>- Students understand the operation of heart and how to take their pulse quick or slow.</t>
  </si>
  <si>
    <t>22-23 + SPEAKING PROJECT</t>
  </si>
  <si>
    <r>
      <rPr>
        <rFont val="Calibri"/>
        <color theme="1"/>
        <sz val="12.0"/>
      </rPr>
      <t>''- Sounds and spelling: ee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2_Speaking Project_Home sweet home .pptx</t>
    </r>
  </si>
  <si>
    <t>LESSON 23</t>
  </si>
  <si>
    <r>
      <rPr>
        <rFont val="Calibri"/>
        <color theme="1"/>
        <sz val="12.0"/>
      </rPr>
      <t>-Review Unit 3 vocabulary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</si>
  <si>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time does she wake up?
She wakes up at seven o'clock.
- What do you do before/after breakfast?
How often do you....?
I always/sometimes/never/......</t>
  </si>
  <si>
    <t>Unit 3 Home booklet</t>
  </si>
  <si>
    <t>See the street where we meet.
Bees at number three and sheep at number thirteen
Green trees in between</t>
  </si>
  <si>
    <t>Unit 3 Game 1 &amp; 2</t>
  </si>
  <si>
    <t>LESSON 24</t>
  </si>
  <si>
    <t>UNIT 4
IN THE CITY</t>
  </si>
  <si>
    <t>36-37</t>
  </si>
  <si>
    <t>- In town: bank, bus station, cinema, sports centre, supermarket, swimming pool, library, market.
- Prepositions: in front of, behind, next to, between, opposite.</t>
  </si>
  <si>
    <t>- Where is it? It's a...
- What's opposite the cinema?
It's the.....
- Where is the ...? It's....</t>
  </si>
  <si>
    <t>- Students understand the topic and know what they often do in particular places.
- Students can use prepositions to find the location.</t>
  </si>
  <si>
    <t>- Geography: Different types homes
cabins, stilts, flat, spiral staircases, cave home, houseboat, tree house, rope bridge</t>
  </si>
  <si>
    <t>How to use contractions</t>
  </si>
  <si>
    <t>LESSON 25</t>
  </si>
  <si>
    <t>Review
- In town: bank, bus station, cinema, sports centre, supermarket, swimming pool, library, market.
- Prepositions: in front of, behind, next to, between, opposite.</t>
  </si>
  <si>
    <t>LESSON 26</t>
  </si>
  <si>
    <t>38-39</t>
  </si>
  <si>
    <t>- Review Unit 2 vocabulary and grammar
- Unit 2 paper test</t>
  </si>
  <si>
    <t>- Review places in town
- Sing a song activity</t>
  </si>
  <si>
    <t>- Sentences with "must"</t>
  </si>
  <si>
    <t>- Students understand what they must do in particular places.</t>
  </si>
  <si>
    <t>Vocabulary 1
Grammar 2</t>
  </si>
  <si>
    <t>LESSON 27</t>
  </si>
  <si>
    <t>40-41</t>
  </si>
  <si>
    <t>- Stella's phonics: consonant sounds: /s/
- Story: Lock and Key</t>
  </si>
  <si>
    <t>- Can Sam play tennis on Friday?
No, he must go to the doctor on Friday.</t>
  </si>
  <si>
    <t>- Student learn some words start with /s/ sounds. Encourage students to say more words.
- With the story, make 3 questions so students will answer them after the story</t>
  </si>
  <si>
    <t>LESSON 28</t>
  </si>
  <si>
    <t>42-43</t>
  </si>
  <si>
    <t>- Maths: Counting money
Pence, pound, coin</t>
  </si>
  <si>
    <t>- How much are the pens?
They are 75p.</t>
  </si>
  <si>
    <t>- Students undertand the currency in Britain.
- Students know how to say the price of things.</t>
  </si>
  <si>
    <t>Grammar 3
Vocabulary 3</t>
  </si>
  <si>
    <t>Students understand the differences between adverbs</t>
  </si>
  <si>
    <t>LESSON 29</t>
  </si>
  <si>
    <t>28 &amp; 31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</si>
  <si>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</si>
  <si>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Review Routines: get dressed/ undressed, get up, go to bed, have a shower, put on, wake up, take off, wash, catch the bus, do homework</t>
  </si>
  <si>
    <t>Review adverbs: always, sometimes, never</t>
  </si>
  <si>
    <t>Unit 4 Home booklet</t>
  </si>
  <si>
    <t>Students can use vocabulary and adverbs to talk about their daily routines</t>
  </si>
  <si>
    <t>Unit 4 Game 1 &amp; 2</t>
  </si>
  <si>
    <t>LESSON 30</t>
  </si>
  <si>
    <t>REVIEW UNIT 1</t>
  </si>
  <si>
    <t>10-17</t>
  </si>
  <si>
    <t>Review Unit 1 vocabulary
- Family members
- Actions</t>
  </si>
  <si>
    <t>32-33 + SPEAKING PROJECT</t>
  </si>
  <si>
    <t>Students review for the mid-term test</t>
  </si>
  <si>
    <t>Home Fun 3
Topic 1: Animals</t>
  </si>
  <si>
    <t>Link</t>
  </si>
  <si>
    <r>
      <rPr>
        <rFont val="Calibri"/>
        <color theme="1"/>
        <sz val="12.0"/>
      </rPr>
      <t>''- Sounds and spelling: /iz/, /s/, /z/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3_Speaking Project_A day in the life .pptx</t>
    </r>
  </si>
  <si>
    <t>Owl dances at night and plays by the moon.
He catches his food and eat before noon.</t>
  </si>
  <si>
    <t>LESSON 31</t>
  </si>
  <si>
    <t>REVIEW UNIT 2</t>
  </si>
  <si>
    <t>18-27</t>
  </si>
  <si>
    <t>Review Unit 2 vocabulary
- House and places
- Numbers: 10-100</t>
  </si>
  <si>
    <t>Home Fun 3
Topic 2: Places</t>
  </si>
  <si>
    <t>- Science: Astronauts in space
- Reading: My first spacewalk</t>
  </si>
  <si>
    <t>Learning to write times</t>
  </si>
  <si>
    <t>LESSON 32</t>
  </si>
  <si>
    <t>REVIEW UNIT 3</t>
  </si>
  <si>
    <t>28-35</t>
  </si>
  <si>
    <t>Review Unit 3 vocabulary
- Routines
- Days of the week
- Adverbs</t>
  </si>
  <si>
    <t>Home Fun 3
Topic 3: Home
Topic 4: Sport and leisure</t>
  </si>
  <si>
    <t>- Review Unit 3 vocabulary and grammar
- Unit 3 paper test</t>
  </si>
  <si>
    <t>LESSON 33</t>
  </si>
  <si>
    <t>TEST</t>
  </si>
  <si>
    <t>END OF TERM A TEST - READING, WRITING
(Teachers prepare worksheets for students to do in class if they finish early)</t>
  </si>
  <si>
    <t>LESSON 34</t>
  </si>
  <si>
    <t>END OF TERM A SPEAKING TEST
(Teachers prepare worksheets for students to do in class)</t>
  </si>
  <si>
    <t>Must/musn't</t>
  </si>
  <si>
    <t>LESSON 35</t>
  </si>
  <si>
    <t>YLE PRACTICE</t>
  </si>
  <si>
    <t>36 &amp; 39</t>
  </si>
  <si>
    <t>Review places in town and prepositions</t>
  </si>
  <si>
    <t>PRACTICE MOVERS EXERCISES - FUN FOR MOVERS (Unit 1-6)
(See the attachment to prepare for lessons)</t>
  </si>
  <si>
    <t>- What's opposite the cinema?
It's the.....
- Where is the ...? It's....
- Sentences with must/mustn't</t>
  </si>
  <si>
    <t>Students can use prepositions to talk about places in a map
Students can use must/musn't to talk/write what they do at different places</t>
  </si>
  <si>
    <t>40-41 + SPEAKING PROJECT</t>
  </si>
  <si>
    <r>
      <rPr>
        <rFont val="Calibri"/>
        <color theme="1"/>
        <sz val="12.0"/>
      </rPr>
      <t>''- Sounds and spelling: ere, ear, air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4_Speaking Project_In the city.pptx</t>
    </r>
  </si>
  <si>
    <t>LESSON 36</t>
  </si>
  <si>
    <t>PRACTICE MOVERS EXERCISES - FUN FOR MOVERS (Unit 7-12)
(See the attachment to prepare for lessons)</t>
  </si>
  <si>
    <t>Where's the bear with purple chair?
He's over there, on the chair!</t>
  </si>
  <si>
    <t>- Geography: Shopping
- Different types of shop</t>
  </si>
  <si>
    <t>Learn about Noun</t>
  </si>
  <si>
    <t>LESSON 37</t>
  </si>
  <si>
    <t>UNIT 5
FIT AND WELL</t>
  </si>
  <si>
    <t>46-47</t>
  </si>
  <si>
    <t>- Illness: temperature, cold, cough, headache, toothache, stomach-ache</t>
  </si>
  <si>
    <t>- What's the matter&gt;
My stomach hurts.
I've got a stomach-ache.</t>
  </si>
  <si>
    <t>- Students understand the topic and know the sympton of each diseases</t>
  </si>
  <si>
    <t>- Review Unit 4 vocabulary and grammar
- Unit 4 paper test</t>
  </si>
  <si>
    <t>LESSON 38</t>
  </si>
  <si>
    <t>48-49</t>
  </si>
  <si>
    <t>- Review illness
- Reading: Tom's illness</t>
  </si>
  <si>
    <t>- Sentences with must/mustn't</t>
  </si>
  <si>
    <t>- Students review the vocabulary
- Students know what they must/mustn't do when they are sick.</t>
  </si>
  <si>
    <t>LESSON 39</t>
  </si>
  <si>
    <t>LESSON 40</t>
  </si>
  <si>
    <t>50-51</t>
  </si>
  <si>
    <t>- Stella's phonics: Rhyming sounds
- Story: Lock and Key
- Watch a video
+ Josh's favourite sports.</t>
  </si>
  <si>
    <t>We must clean our teeth with toothpaste after breakfast.</t>
  </si>
  <si>
    <t>- Student learn some words start with /e/ and /ei/ sounds. Encourage students to say more words.
- With the story, make 3 questions so students will answer them after the story</t>
  </si>
  <si>
    <t>LESSON 41</t>
  </si>
  <si>
    <t>52-53</t>
  </si>
  <si>
    <t>- Science: A healthy body
Healthy and unhealthy food/things
- Answer the quiz on page 52</t>
  </si>
  <si>
    <t>Present simple tense</t>
  </si>
  <si>
    <t>- Students understand the value of healthy body
- Students know how make their body healthy.</t>
  </si>
  <si>
    <t>Vocabulary 2
Grammar 2</t>
  </si>
  <si>
    <t>LESSON 42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</si>
  <si>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</si>
  <si>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5 Home booklet</t>
  </si>
  <si>
    <t>REVIEW UNIT 4</t>
  </si>
  <si>
    <t>Unit 5 Game 1 &amp; 2</t>
  </si>
  <si>
    <t>36-43</t>
  </si>
  <si>
    <t>Review Unit 4 vocabulary
- Places in town
- Preposition of place</t>
  </si>
  <si>
    <t>LESSON 43</t>
  </si>
  <si>
    <t>EXTRA BOOKS
STORY FUN 3</t>
  </si>
  <si>
    <t>MIDTERM TEST</t>
  </si>
  <si>
    <t>MIDTERM TEST - LISTENING, READING, WRITING
(For Listening, each part will be listened in 2 times)</t>
  </si>
  <si>
    <t>Topic 1: Jack and the penguin</t>
  </si>
  <si>
    <t>Students read the story and practice YLE exercises</t>
  </si>
  <si>
    <t>Topic 2: Jog the alien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</si>
  <si>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</si>
  <si>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LESSON 44</t>
  </si>
  <si>
    <t>UNIT 6
A DAY IN THE COUNTRY</t>
  </si>
  <si>
    <t>54-55</t>
  </si>
  <si>
    <t>- In the country: grass, picnic, leaf, plant, forest, field, river, lake
- Reading: Lily and Charlie</t>
  </si>
  <si>
    <t>- Present simple tense
- Present continuous</t>
  </si>
  <si>
    <t>- Students understand the topic and remember the vocabulary.</t>
  </si>
  <si>
    <t>MIDTERM TEST - SPEAKING
(See the speaking instruction in Test Answer Key)</t>
  </si>
  <si>
    <t>Vocabulary 1
Grammar 1</t>
  </si>
  <si>
    <t>- Teachers prepare worksheets for students to do in class
- Teachers instruct students what to do in each part of the speaking test
- Teachers complete the speaking test for all students</t>
  </si>
  <si>
    <t>LESSON 45</t>
  </si>
  <si>
    <t>56-57</t>
  </si>
  <si>
    <t>- Review in the country
- Adjectives: weak, thin, quiet, thirsty, hot, fat, bad, strong, tired, loud, hungry, cold
- Sing a song activity</t>
  </si>
  <si>
    <t>- Shall I help you put the blanket on the grass?
- How is he/she? He/She is....
- Who is strong/tired/..?</t>
  </si>
  <si>
    <t>- Students review the vocabulary and remember the adjectives
- Students can use adjectives to describe people.
- Students can sing a song together.</t>
  </si>
  <si>
    <t>EXTRA BOOK: FUN FOR MOVERS (Unit 1-6)</t>
  </si>
  <si>
    <t>LESSON 46</t>
  </si>
  <si>
    <t>- Students practice Movers Cambridge exam
- Teachers ask students to open Handbook</t>
  </si>
  <si>
    <t>LESSON 47</t>
  </si>
  <si>
    <t>EXTRA BOOK: FUN FOR MOVERS (Unit 7-12)</t>
  </si>
  <si>
    <t>58-59</t>
  </si>
  <si>
    <t>- Stella's phonics: Short vowel "e"
- Story: Lock and Key</t>
  </si>
  <si>
    <t>Review sentences with "shall"</t>
  </si>
  <si>
    <t>- Student learn some words start with /e/ sounds. Encourage students to say more words.
- With the story, make 3 questions so students will answer them after the story</t>
  </si>
  <si>
    <t>TERM B (UNIT 5 - 8)</t>
  </si>
  <si>
    <t>LESSON 48</t>
  </si>
  <si>
    <t>60-61</t>
  </si>
  <si>
    <t>- Science: Plants
+ leaves, fruit, roots, seeds, lettuce, carrots, orange tree, sunflower</t>
  </si>
  <si>
    <t>- Students understand parts of the plants and how to make them healthy.</t>
  </si>
  <si>
    <t>Vocabulary 2
Grammar 3</t>
  </si>
  <si>
    <t>LESSON 49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</si>
  <si>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</si>
  <si>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6 Home booklet</t>
  </si>
  <si>
    <t>Unit 6 Game 1 &amp; 2</t>
  </si>
  <si>
    <t>LESSON 50</t>
  </si>
  <si>
    <t>20-27</t>
  </si>
  <si>
    <t>Topic 3: My friend Meg</t>
  </si>
  <si>
    <t>Topic 4: High five!</t>
  </si>
  <si>
    <t>LESSON 51</t>
  </si>
  <si>
    <t>UNIT 7
WORLD OF ANIMALS</t>
  </si>
  <si>
    <t>64-65</t>
  </si>
  <si>
    <t>- Animals: bear, bat, parrot, whale, dolphin, lion, shark, kangaroo, panda
- Reading: Animals around the world</t>
  </si>
  <si>
    <t>- What animal is it? It's....
- Which animals are strong?</t>
  </si>
  <si>
    <t>- Students understand the topic and can describe animals.</t>
  </si>
  <si>
    <t>- Listening: Stella stays in bed
- Reading: Paul's illness</t>
  </si>
  <si>
    <t>Sentences with must/mustn't</t>
  </si>
  <si>
    <t>LESSON 52</t>
  </si>
  <si>
    <t>66-67</t>
  </si>
  <si>
    <t>- Review animals
- Sing a song activity</t>
  </si>
  <si>
    <t>- Comparative with short adjectives: cleaner, bigger, dirtier, better, worse</t>
  </si>
  <si>
    <t>- Students can use grammar to talk about animals
- Students can sing a song together.</t>
  </si>
  <si>
    <t>LESSON 53</t>
  </si>
  <si>
    <t>46 &amp; 49</t>
  </si>
  <si>
    <t>Review Illness: temperature, cold, cough, headache, toothache, stomach-ache</t>
  </si>
  <si>
    <t>Students can use must/mustn't to talk about what they do when they have illness</t>
  </si>
  <si>
    <t>LESSON 54</t>
  </si>
  <si>
    <t>68-69</t>
  </si>
  <si>
    <t>- Stella's phonics: Consonant sound "f"
- Watch a  Story: Lock and Key
- Watch a video
+ The aquarium</t>
  </si>
  <si>
    <t>Review comparative sentences</t>
  </si>
  <si>
    <t>- Student learn some words start with /f/ sounds. Encourage students to say more words.
- With the story, make 3 questions so students will answer them after the story
- Students know animals in the aquarium.</t>
  </si>
  <si>
    <t>50-51 + SPEAKING PROJECT</t>
  </si>
  <si>
    <t>LESSON 55</t>
  </si>
  <si>
    <r>
      <rPr>
        <rFont val="Calibri"/>
        <color theme="1"/>
        <sz val="12.0"/>
      </rPr>
      <t>''- Sounds and spelling: /z/, /v/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5_Speaking Project_Fit and well.pptx</t>
    </r>
  </si>
  <si>
    <t>He's got a cold and he's feeling ill - poor farmer Bill!
The sheep ate all the cake - now they've got a stomach-ache!</t>
  </si>
  <si>
    <t>- Science: Remedies and illnesses
- New words: Soup, herbal tea, essential oils</t>
  </si>
  <si>
    <t>Imperatives</t>
  </si>
  <si>
    <t>70-71</t>
  </si>
  <si>
    <t>- Geography: Animal habitats
+ island, mountain, cave, waterfall, jungle, tomato frog, ring-tailed lemur, Nile crocodile.</t>
  </si>
  <si>
    <t>- Which animal lives in caves?
- Which animal lives in the trees</t>
  </si>
  <si>
    <t>- Students understand the topic and know habitats of each animal.</t>
  </si>
  <si>
    <t>- Review Unit 5 vocabulary and grammar
- Unit 5 paper test</t>
  </si>
  <si>
    <t>Vocabulary 1 &amp; 2
Grammar 3</t>
  </si>
  <si>
    <t>LESSON 56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</si>
  <si>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</si>
  <si>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Adjectives: weak, thin, quiet, thirsty, hot, fat, bad, strong, tired, loud, hungry, cold
- Sing a song activity</t>
  </si>
  <si>
    <t>54 &amp; 57</t>
  </si>
  <si>
    <t>- Review in the country: grass, picnic, leaf, plant, forest, field, river, lake
- Review Adjectives: weak, thin, quiet, thirsty, hot, fat, bad, strong, tired, loud, hungry, cold</t>
  </si>
  <si>
    <t>Unit 7 Home booklet</t>
  </si>
  <si>
    <t>- Students review the vocabulary and remember the adjectives
- Students can use adjectives to describe people.</t>
  </si>
  <si>
    <t>Unit 7 Game 1 &amp; 2</t>
  </si>
  <si>
    <t>58-59 + SPEAKING PROJECT</t>
  </si>
  <si>
    <t>LESSON 57</t>
  </si>
  <si>
    <r>
      <rPr>
        <rFont val="Calibri"/>
        <color theme="1"/>
        <sz val="12.0"/>
      </rPr>
      <t>''- Sounds and spelling: r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6_Speaking Project_A day in the country.pptx</t>
    </r>
  </si>
  <si>
    <t>Topic 5: The monster under my bed!</t>
  </si>
  <si>
    <t>In the forest, parrots sit on the grass by the river.
They watch their bread and grapes so crocodiles can't steal their dinner!</t>
  </si>
  <si>
    <t>Topic 6: What a great grandmother!</t>
  </si>
  <si>
    <t>- Geography: The city and the countryside
- Advantage and disadvantage</t>
  </si>
  <si>
    <t>How to use capitalisation</t>
  </si>
  <si>
    <t>LESSON 58</t>
  </si>
  <si>
    <t>UNIT 8
WEATHER REPORT</t>
  </si>
  <si>
    <t>72-73</t>
  </si>
  <si>
    <t>- Review Unit 6 vocabulary and grammar
- Unit 6 paper test</t>
  </si>
  <si>
    <t>Weather: cloudy, raining, snowing, sunny, wet, windy, dry</t>
  </si>
  <si>
    <t>- How's the weather?
It's....
- What's the weather like at the beach?
It's....</t>
  </si>
  <si>
    <t>LESSON 59</t>
  </si>
  <si>
    <t>74-75</t>
  </si>
  <si>
    <t>- Past simple: was/were
- Yesterday and today</t>
  </si>
  <si>
    <t>- Students review the vocabulary
- Students understand the different between "yesterday" and "today"
- Students know how to use was/were.
- Students sing a song together.</t>
  </si>
  <si>
    <t>Vocabulary 1</t>
  </si>
  <si>
    <t>LESSON 60</t>
  </si>
  <si>
    <t>- Listening: Animals in the world
- Adjectives: clean, big, dirty, good, bad
- Sing a song activity</t>
  </si>
  <si>
    <t>- Review weather
- Sing a song activity</t>
  </si>
  <si>
    <t>LESSON 61</t>
  </si>
  <si>
    <t>64 &amp; 67</t>
  </si>
  <si>
    <t>76-77</t>
  </si>
  <si>
    <t>- Review animals: bear, bat, parrot, whale, dolphin, lion, shark, kangaroo, panda
- Review Adjectives: clean, big, dirty, good, bad</t>
  </si>
  <si>
    <t>- Stella's phonics: Consonant sound "w"
- Watch a  Story: Lock and Key</t>
  </si>
  <si>
    <t>- Review past simple</t>
  </si>
  <si>
    <t>- Students can use grammar to talk about animals
- Studnets can use grammar to make comparision about their friends in class</t>
  </si>
  <si>
    <t>- Student learn some words start with /w/ sounds. Encourage students to say more words.
- With the story, make 3 questions so students will answer them after the story</t>
  </si>
  <si>
    <t>LESSON 62</t>
  </si>
  <si>
    <t>78-79</t>
  </si>
  <si>
    <t>Music: Instruments
+ percussion, woodwind, orchestra, brass, strings</t>
  </si>
  <si>
    <t>- Students know different types of intrsuments and their sounds</t>
  </si>
  <si>
    <t>Vocabulary 3
Grammar 2 &amp; 3</t>
  </si>
  <si>
    <t>68-69 + SPEAKING PROJECT</t>
  </si>
  <si>
    <t>LESSON 63</t>
  </si>
  <si>
    <r>
      <rPr>
        <rFont val="Calibri"/>
        <color theme="1"/>
        <sz val="12.0"/>
      </rPr>
      <t>''- Sounds and spelling: f, ff, gh, ph
- Watch a 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7_Speaking Project_World of Animals.pptx</t>
    </r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</si>
  <si>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</si>
  <si>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</si>
  <si>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Unit 8 Game 1 &amp; 2</t>
  </si>
  <si>
    <t>LESSON 64</t>
  </si>
  <si>
    <t>52-59</t>
  </si>
  <si>
    <t>The giraffe laughs when the frog coughs, and the dolphin takes funny photographs!</t>
  </si>
  <si>
    <t>Topic 7: The old man and the jungle</t>
  </si>
  <si>
    <t>Topic 8: Henry's holiday</t>
  </si>
  <si>
    <t>- Science: Animals staying safe
- New words: grasshoppers, hummingbirds, monarch butterfiles, sea turtles</t>
  </si>
  <si>
    <t>Learn about adjectives</t>
  </si>
  <si>
    <t>LESSON 65</t>
  </si>
  <si>
    <t>REVIEW UNIT 5</t>
  </si>
  <si>
    <t>46-53</t>
  </si>
  <si>
    <t>Review Unit 5 vocabulary
- illness</t>
  </si>
  <si>
    <t>- Review Unit 7 vocabulary and grammar
- Unit 7 paper test</t>
  </si>
  <si>
    <t>Comparative with short adjectives: cleaner, bigger, dirtier, better, worse</t>
  </si>
  <si>
    <t>Students prepare for the Final test</t>
  </si>
  <si>
    <t>Home Fun 3
Topic 5: Family</t>
  </si>
  <si>
    <t>Weather: cloudy, raining, snowing, sunnywindy, rainbow</t>
  </si>
  <si>
    <t>LESSON 66</t>
  </si>
  <si>
    <t>REVIEW UNIT 6</t>
  </si>
  <si>
    <t>54-61</t>
  </si>
  <si>
    <t>Review Unit 6 vocabulary
- In the country
- Adjectives</t>
  </si>
  <si>
    <t>Home Fun 3
Topic 6: Time</t>
  </si>
  <si>
    <r>
      <rPr>
        <rFont val="Calibri"/>
        <color theme="1"/>
        <sz val="12.0"/>
      </rPr>
      <t>''- Listening: Alex and Lenny holiday
- Sing a song activitiy</t>
    </r>
    <r>
      <rPr>
        <rFont val="Calibri"/>
        <b/>
        <color theme="1"/>
        <sz val="12.0"/>
      </rPr>
      <t xml:space="preserve">
Extra Quiz:</t>
    </r>
    <r>
      <rPr>
        <rFont val="Calibri"/>
        <color theme="1"/>
        <sz val="12.0"/>
      </rPr>
      <t xml:space="preserve"> Unit 8_Extra quiz for preparation_Weather report.pdf </t>
    </r>
  </si>
  <si>
    <t>LESSON 67</t>
  </si>
  <si>
    <t>REVIEW UNIT 7</t>
  </si>
  <si>
    <t>64-71</t>
  </si>
  <si>
    <t>Review Unit 7 vocabulary
- Animals
- Short comparative adjectives</t>
  </si>
  <si>
    <t>Home Fun 3
Topic 7: Health
Topic 8: Weather</t>
  </si>
  <si>
    <t>- Students understand the different between "yesterday" and "today"
- Students know how to use was/were.
- Students sing a song together.</t>
  </si>
  <si>
    <t>LESSON 68</t>
  </si>
  <si>
    <t>72 &amp; 75</t>
  </si>
  <si>
    <t>Review weather: cloudy, raining, snowing, sunny, wet, windy, dry</t>
  </si>
  <si>
    <t>Review
- Past simple: was/were
- Yesterday and today</t>
  </si>
  <si>
    <t>- Students review the vocabulary
- Students understand the different between "yesterday" and "today"
- Students know how to use was/were.</t>
  </si>
  <si>
    <t>END OF LEVEL TEST - READING, WRITING
(Teachers prepare worksheets for students to do in class if they finish early)</t>
  </si>
  <si>
    <t>76-77 + SPEAKING PROJECT</t>
  </si>
  <si>
    <r>
      <rPr>
        <rFont val="Calibri"/>
        <color theme="1"/>
        <sz val="12.0"/>
      </rPr>
      <t>''- Sounds and spelling: review
- Watch a 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8_Speaking Project_Weather report.pptx</t>
    </r>
  </si>
  <si>
    <t>LESSON 69</t>
  </si>
  <si>
    <t>- In the sunny sky, bees dance and parrots fly.
- A giraffe's over there sitting on a red chair.
- He watches the bear paint frogs with no hair.
- Review past simple</t>
  </si>
  <si>
    <t xml:space="preserve">  </t>
  </si>
  <si>
    <t>Music: Sounds in nature
+ percussion, wind, instruments</t>
  </si>
  <si>
    <t>Learn to use key information: What? Where? When?</t>
  </si>
  <si>
    <t>LESSON 70</t>
  </si>
  <si>
    <t>PRACTICE MOVERS EXERCISES - FUN FOR MOVERS (Unit 13-17)
(See the attachment to prepare for lessons)</t>
  </si>
  <si>
    <t>- Review Unit 8 vocabulary and grammar
- Unit 8 paper test</t>
  </si>
  <si>
    <t>LESSON 71</t>
  </si>
  <si>
    <t>PRACTICE MOVERS EXERCISES - FUN FOR MOVERS (Unit 18-23)
(See the attachment to prepare for lessons)</t>
  </si>
  <si>
    <t>LESSON 72</t>
  </si>
  <si>
    <t>GRADUATION</t>
  </si>
  <si>
    <t>GRADUATION - PARENT'S MEETING
(STUDENT PRACTICE MOVER EXAMINATION)</t>
  </si>
  <si>
    <t>REVIEW UNIT 8</t>
  </si>
  <si>
    <t>72-79</t>
  </si>
  <si>
    <t>Review Unit 8 vocabulary
- Weather</t>
  </si>
  <si>
    <t>FINAL TEST</t>
  </si>
  <si>
    <t>END OF LEVEL TEST - LISTENING, READING, WRITING
(For Listening, each part will be listened in 2 times)</t>
  </si>
  <si>
    <t>END OF LEVEL TEST - SPEAKING
(See the speaking instruction in Test Answer Key)</t>
  </si>
  <si>
    <t>EXTRA BOOK: FUN FOR MOVERS (Unit 13-17)</t>
  </si>
  <si>
    <t>EXTRA BOOK: FUN FOR MOVERS (Unit 18-23)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</si>
</sst>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"/>
    <numFmt numFmtId="166" formatCode="d/m"/>
    <numFmt numFmtId="167" formatCode="d\-m"/>
  </numFmts>
  <fonts count="33">
    <font>
      <sz val="11.0"/>
      <color theme="1"/>
      <name val="Calibri"/>
      <scheme val="minor"/>
    </font>
    <font>
      <b/>
      <sz val="36.0"/>
      <color theme="1"/>
      <name val="Calibri"/>
    </font>
    <font>
      <b/>
      <sz val="35.0"/>
      <color rgb="FF674EA7"/>
      <name val="Comfortaa"/>
    </font>
    <font>
      <b/>
      <sz val="12.0"/>
      <color theme="1"/>
      <name val="Calibri"/>
    </font>
    <font>
      <b/>
      <sz val="13.0"/>
      <color theme="1"/>
      <name val="Roboto"/>
    </font>
    <font>
      <color theme="1"/>
      <name val="Calibri"/>
    </font>
    <font>
      <b/>
      <sz val="18.0"/>
      <color theme="1"/>
      <name val="Calibri"/>
    </font>
    <font/>
    <font>
      <b/>
      <sz val="11.0"/>
      <color rgb="FF434343"/>
      <name val="Roboto"/>
    </font>
    <font>
      <sz val="11.0"/>
      <color rgb="FFFF0000"/>
      <name val="Roboto"/>
    </font>
    <font>
      <b/>
      <sz val="20.0"/>
      <color theme="1"/>
      <name val="Arial"/>
    </font>
    <font>
      <sz val="12.0"/>
      <color theme="1"/>
      <name val="Calibri"/>
    </font>
    <font>
      <b/>
      <sz val="11.0"/>
      <color rgb="FFCC0000"/>
      <name val="Roboto"/>
    </font>
    <font>
      <sz val="11.0"/>
      <color theme="1"/>
      <name val="Calibri"/>
    </font>
    <font>
      <u/>
      <sz val="12.0"/>
      <color rgb="FF1155CC"/>
      <name val="Calibri"/>
    </font>
    <font>
      <sz val="10.0"/>
      <color theme="1"/>
      <name val="Calibri"/>
    </font>
    <font>
      <u/>
      <sz val="12.0"/>
      <color theme="1"/>
      <name val="Calibri"/>
    </font>
    <font>
      <sz val="12.0"/>
      <color rgb="FF000000"/>
      <name val="Calibri"/>
    </font>
    <font>
      <u/>
      <sz val="12.0"/>
      <color theme="1"/>
      <name val="Calibri"/>
    </font>
    <font>
      <u/>
      <sz val="11.0"/>
      <color rgb="FF1155CC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sz val="11.0"/>
      <color theme="1"/>
      <name val="Arial"/>
    </font>
    <font>
      <u/>
      <sz val="11.0"/>
      <color rgb="FF1155CC"/>
      <name val="Calibri"/>
    </font>
    <font>
      <sz val="12.0"/>
      <color rgb="FFFF0000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</fills>
  <borders count="4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top/>
    </border>
    <border>
      <top/>
    </border>
    <border>
      <top/>
      <bottom style="thin">
        <color rgb="FF000000"/>
      </bottom>
    </border>
    <border>
      <right style="thin">
        <color rgb="FF000000"/>
      </right>
      <top/>
    </border>
    <border>
      <right style="thin">
        <color rgb="FF000000"/>
      </right>
      <top/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2" fillId="3" fontId="6" numFmtId="0" xfId="0" applyAlignment="1" applyBorder="1" applyFont="1">
      <alignment horizontal="center" vertical="center"/>
    </xf>
    <xf borderId="3" fillId="0" fontId="7" numFmtId="0" xfId="0" applyBorder="1" applyFont="1"/>
    <xf borderId="4" fillId="4" fontId="8" numFmtId="0" xfId="0" applyAlignment="1" applyBorder="1" applyFill="1" applyFont="1">
      <alignment shrinkToFit="0" wrapText="1"/>
    </xf>
    <xf borderId="5" fillId="0" fontId="7" numFmtId="0" xfId="0" applyBorder="1" applyFont="1"/>
    <xf borderId="6" fillId="4" fontId="9" numFmtId="0" xfId="0" applyAlignment="1" applyBorder="1" applyFont="1">
      <alignment horizontal="center" shrinkToFit="0" wrapText="1"/>
    </xf>
    <xf borderId="7" fillId="0" fontId="7" numFmtId="0" xfId="0" applyBorder="1" applyFont="1"/>
    <xf borderId="8" fillId="5" fontId="8" numFmtId="0" xfId="0" applyAlignment="1" applyBorder="1" applyFill="1" applyFont="1">
      <alignment shrinkToFit="0" wrapText="1"/>
    </xf>
    <xf borderId="2" fillId="3" fontId="3" numFmtId="0" xfId="0" applyAlignment="1" applyBorder="1" applyFon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11" fillId="3" fontId="3" numFmtId="0" xfId="0" applyAlignment="1" applyBorder="1" applyFont="1">
      <alignment horizontal="center" shrinkToFit="0" vertical="center" wrapText="1"/>
    </xf>
    <xf borderId="12" fillId="5" fontId="8" numFmtId="0" xfId="0" applyAlignment="1" applyBorder="1" applyFont="1">
      <alignment horizontal="center" shrinkToFit="0" wrapText="1"/>
    </xf>
    <xf borderId="13" fillId="6" fontId="10" numFmtId="0" xfId="0" applyAlignment="1" applyBorder="1" applyFill="1" applyFont="1">
      <alignment horizontal="center" vertical="center"/>
    </xf>
    <xf borderId="14" fillId="6" fontId="10" numFmtId="0" xfId="0" applyAlignment="1" applyBorder="1" applyFont="1">
      <alignment horizontal="center" vertical="center"/>
    </xf>
    <xf borderId="15" fillId="0" fontId="7" numFmtId="0" xfId="0" applyBorder="1" applyFont="1"/>
    <xf borderId="16" fillId="0" fontId="7" numFmtId="0" xfId="0" applyBorder="1" applyFont="1"/>
    <xf borderId="8" fillId="5" fontId="8" numFmtId="0" xfId="0" applyAlignment="1" applyBorder="1" applyFont="1">
      <alignment shrinkToFit="0" vertical="top" wrapText="1"/>
    </xf>
    <xf borderId="17" fillId="0" fontId="7" numFmtId="0" xfId="0" applyBorder="1" applyFont="1"/>
    <xf borderId="11" fillId="0" fontId="11" numFmtId="164" xfId="0" applyAlignment="1" applyBorder="1" applyFont="1" applyNumberFormat="1">
      <alignment horizontal="center" vertical="center"/>
    </xf>
    <xf borderId="18" fillId="0" fontId="7" numFmtId="0" xfId="0" applyBorder="1" applyFont="1"/>
    <xf borderId="4" fillId="4" fontId="8" numFmtId="0" xfId="0" applyAlignment="1" applyBorder="1" applyFont="1">
      <alignment shrinkToFit="0" vertical="top" wrapText="1"/>
    </xf>
    <xf borderId="11" fillId="0" fontId="11" numFmtId="0" xfId="0" applyAlignment="1" applyBorder="1" applyFont="1">
      <alignment horizontal="center" vertical="center"/>
    </xf>
    <xf borderId="19" fillId="5" fontId="12" numFmtId="0" xfId="0" applyAlignment="1" applyBorder="1" applyFont="1">
      <alignment shrinkToFit="0" vertical="top" wrapText="1"/>
    </xf>
    <xf borderId="20" fillId="0" fontId="11" numFmtId="164" xfId="0" applyAlignment="1" applyBorder="1" applyFont="1" applyNumberFormat="1">
      <alignment horizontal="center" vertical="center"/>
    </xf>
    <xf borderId="11" fillId="7" fontId="11" numFmtId="0" xfId="0" applyAlignment="1" applyBorder="1" applyFill="1" applyFont="1">
      <alignment horizontal="center" shrinkToFit="0" vertical="center" wrapText="1"/>
    </xf>
    <xf borderId="20" fillId="0" fontId="11" numFmtId="0" xfId="0" applyAlignment="1" applyBorder="1" applyFont="1">
      <alignment horizontal="center" vertical="center"/>
    </xf>
    <xf quotePrefix="1" borderId="11" fillId="0" fontId="11" numFmtId="0" xfId="0" applyAlignment="1" applyBorder="1" applyFont="1">
      <alignment horizontal="center" vertical="center"/>
    </xf>
    <xf borderId="20" fillId="7" fontId="11" numFmtId="0" xfId="0" applyAlignment="1" applyBorder="1" applyFont="1">
      <alignment horizontal="center" shrinkToFit="0" vertical="center" wrapText="1"/>
    </xf>
    <xf quotePrefix="1" borderId="11" fillId="0" fontId="11" numFmtId="0" xfId="0" applyAlignment="1" applyBorder="1" applyFont="1">
      <alignment shrinkToFit="0" vertical="center" wrapText="1"/>
    </xf>
    <xf quotePrefix="1" borderId="20" fillId="0" fontId="11" numFmtId="0" xfId="0" applyAlignment="1" applyBorder="1" applyFont="1">
      <alignment horizontal="center" vertical="center"/>
    </xf>
    <xf quotePrefix="1" borderId="20" fillId="0" fontId="11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shrinkToFit="0" vertical="center" wrapText="1"/>
    </xf>
    <xf borderId="21" fillId="0" fontId="11" numFmtId="164" xfId="0" applyAlignment="1" applyBorder="1" applyFont="1" applyNumberFormat="1">
      <alignment horizontal="center" vertical="center"/>
    </xf>
    <xf borderId="22" fillId="0" fontId="11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horizontal="center" vertical="center"/>
    </xf>
    <xf borderId="21" fillId="7" fontId="11" numFmtId="0" xfId="0" applyAlignment="1" applyBorder="1" applyFont="1">
      <alignment horizontal="center" shrinkToFit="0" vertical="center" wrapText="1"/>
    </xf>
    <xf borderId="11" fillId="0" fontId="11" numFmtId="165" xfId="0" applyAlignment="1" applyBorder="1" applyFont="1" applyNumberFormat="1">
      <alignment horizontal="center" vertical="center"/>
    </xf>
    <xf quotePrefix="1" borderId="21" fillId="0" fontId="11" numFmtId="0" xfId="0" applyAlignment="1" applyBorder="1" applyFont="1">
      <alignment shrinkToFit="0" vertical="center" wrapText="1"/>
    </xf>
    <xf borderId="21" fillId="0" fontId="11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21" fillId="0" fontId="13" numFmtId="0" xfId="0" applyAlignment="1" applyBorder="1" applyFont="1">
      <alignment horizontal="center" vertical="center"/>
    </xf>
    <xf quotePrefix="1" borderId="11" fillId="0" fontId="11" numFmtId="16" xfId="0" applyAlignment="1" applyBorder="1" applyFont="1" applyNumberFormat="1">
      <alignment horizontal="center" vertical="center"/>
    </xf>
    <xf quotePrefix="1" borderId="21" fillId="0" fontId="11" numFmtId="16" xfId="0" applyAlignment="1" applyBorder="1" applyFont="1" applyNumberFormat="1">
      <alignment horizontal="center" vertical="center"/>
    </xf>
    <xf borderId="21" fillId="8" fontId="3" numFmtId="0" xfId="0" applyAlignment="1" applyBorder="1" applyFill="1" applyFont="1">
      <alignment horizontal="center" vertical="center"/>
    </xf>
    <xf borderId="11" fillId="9" fontId="3" numFmtId="0" xfId="0" applyAlignment="1" applyBorder="1" applyFill="1" applyFont="1">
      <alignment horizontal="center" shrinkToFit="0" vertical="center" wrapText="1"/>
    </xf>
    <xf borderId="21" fillId="0" fontId="11" numFmtId="0" xfId="0" applyAlignment="1" applyBorder="1" applyFont="1">
      <alignment shrinkToFit="0" vertical="center" wrapText="1"/>
    </xf>
    <xf quotePrefix="1" borderId="21" fillId="0" fontId="14" numFmtId="0" xfId="0" applyAlignment="1" applyBorder="1" applyFont="1">
      <alignment horizontal="center" vertical="center"/>
    </xf>
    <xf borderId="21" fillId="4" fontId="15" numFmtId="0" xfId="0" applyAlignment="1" applyBorder="1" applyFont="1">
      <alignment horizontal="center" vertical="center"/>
    </xf>
    <xf borderId="11" fillId="0" fontId="16" numFmtId="0" xfId="0" applyAlignment="1" applyBorder="1" applyFont="1">
      <alignment shrinkToFit="0" vertical="center" wrapText="1"/>
    </xf>
    <xf borderId="21" fillId="4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shrinkToFit="0" vertical="center" wrapText="1"/>
    </xf>
    <xf borderId="21" fillId="4" fontId="11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vertical="center"/>
    </xf>
    <xf quotePrefix="1" borderId="21" fillId="4" fontId="11" numFmtId="0" xfId="0" applyAlignment="1" applyBorder="1" applyFont="1">
      <alignment horizontal="center" vertical="center"/>
    </xf>
    <xf quotePrefix="1" borderId="21" fillId="4" fontId="11" numFmtId="0" xfId="0" applyAlignment="1" applyBorder="1" applyFont="1">
      <alignment shrinkToFit="0" vertical="center" wrapText="1"/>
    </xf>
    <xf borderId="11" fillId="4" fontId="15" numFmtId="164" xfId="0" applyAlignment="1" applyBorder="1" applyFont="1" applyNumberFormat="1">
      <alignment horizontal="center" vertical="center"/>
    </xf>
    <xf borderId="21" fillId="4" fontId="13" numFmtId="0" xfId="0" applyAlignment="1" applyBorder="1" applyFont="1">
      <alignment horizontal="center" vertical="center"/>
    </xf>
    <xf borderId="11" fillId="4" fontId="11" numFmtId="0" xfId="0" applyAlignment="1" applyBorder="1" applyFont="1">
      <alignment horizontal="center" shrinkToFit="0" vertical="center" wrapText="1"/>
    </xf>
    <xf borderId="0" fillId="4" fontId="5" numFmtId="0" xfId="0" applyFont="1"/>
    <xf quotePrefix="1" borderId="11" fillId="4" fontId="11" numFmtId="0" xfId="0" applyAlignment="1" applyBorder="1" applyFont="1">
      <alignment horizontal="center" vertical="center"/>
    </xf>
    <xf quotePrefix="1" borderId="11" fillId="4" fontId="11" numFmtId="0" xfId="0" applyAlignment="1" applyBorder="1" applyFont="1">
      <alignment shrinkToFit="0" vertical="center" wrapText="1"/>
    </xf>
    <xf quotePrefix="1" borderId="21" fillId="0" fontId="11" numFmtId="17" xfId="0" applyAlignment="1" applyBorder="1" applyFont="1" applyNumberFormat="1">
      <alignment horizontal="center" vertical="center"/>
    </xf>
    <xf borderId="23" fillId="4" fontId="11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horizontal="center" vertical="center"/>
    </xf>
    <xf quotePrefix="1" borderId="21" fillId="0" fontId="11" numFmtId="0" xfId="0" applyAlignment="1" applyBorder="1" applyFont="1">
      <alignment horizontal="center" vertical="center"/>
    </xf>
    <xf quotePrefix="1" borderId="11" fillId="0" fontId="11" numFmtId="17" xfId="0" applyAlignment="1" applyBorder="1" applyFont="1" applyNumberFormat="1">
      <alignment horizontal="center" vertical="center"/>
    </xf>
    <xf quotePrefix="1" borderId="21" fillId="0" fontId="11" numFmtId="0" xfId="0" applyAlignment="1" applyBorder="1" applyFont="1">
      <alignment horizontal="center" shrinkToFit="0" vertical="center" wrapText="1"/>
    </xf>
    <xf borderId="11" fillId="2" fontId="11" numFmtId="0" xfId="0" applyAlignment="1" applyBorder="1" applyFont="1">
      <alignment horizontal="center" vertical="center"/>
    </xf>
    <xf borderId="21" fillId="8" fontId="3" numFmtId="0" xfId="0" applyAlignment="1" applyBorder="1" applyFont="1">
      <alignment horizontal="center" shrinkToFit="0" vertical="center" wrapText="1"/>
    </xf>
    <xf quotePrefix="1" borderId="11" fillId="9" fontId="3" numFmtId="0" xfId="0" applyAlignment="1" applyBorder="1" applyFont="1">
      <alignment horizontal="center" shrinkToFit="0" vertical="center" wrapText="1"/>
    </xf>
    <xf borderId="21" fillId="0" fontId="18" numFmtId="0" xfId="0" applyAlignment="1" applyBorder="1" applyFont="1">
      <alignment shrinkToFit="0" vertical="center" wrapText="1"/>
    </xf>
    <xf quotePrefix="1" borderId="23" fillId="0" fontId="11" numFmtId="0" xfId="0" applyAlignment="1" applyBorder="1" applyFont="1">
      <alignment horizontal="center" shrinkToFit="0" vertical="center" wrapText="1"/>
    </xf>
    <xf borderId="21" fillId="0" fontId="19" numFmtId="0" xfId="0" applyAlignment="1" applyBorder="1" applyFont="1">
      <alignment horizontal="center" shrinkToFit="0" vertical="center" wrapText="1"/>
    </xf>
    <xf borderId="11" fillId="8" fontId="3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quotePrefix="1" borderId="21" fillId="0" fontId="20" numFmtId="0" xfId="0" applyAlignment="1" applyBorder="1" applyFont="1">
      <alignment horizontal="center" shrinkToFit="0" vertical="center" wrapText="1"/>
    </xf>
    <xf borderId="11" fillId="4" fontId="15" numFmtId="166" xfId="0" applyAlignment="1" applyBorder="1" applyFont="1" applyNumberFormat="1">
      <alignment horizontal="center" vertical="center"/>
    </xf>
    <xf borderId="24" fillId="7" fontId="21" numFmtId="0" xfId="0" applyAlignment="1" applyBorder="1" applyFont="1">
      <alignment horizontal="center" vertical="center"/>
    </xf>
    <xf borderId="24" fillId="7" fontId="22" numFmtId="0" xfId="0" applyAlignment="1" applyBorder="1" applyFont="1">
      <alignment horizontal="center" vertical="center"/>
    </xf>
    <xf borderId="21" fillId="8" fontId="11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shrinkToFit="0" vertical="center" wrapText="1"/>
    </xf>
    <xf borderId="26" fillId="0" fontId="7" numFmtId="0" xfId="0" applyBorder="1" applyFont="1"/>
    <xf borderId="23" fillId="0" fontId="7" numFmtId="0" xfId="0" applyBorder="1" applyFont="1"/>
    <xf borderId="21" fillId="0" fontId="23" numFmtId="0" xfId="0" applyAlignment="1" applyBorder="1" applyFont="1">
      <alignment horizontal="center" vertical="center"/>
    </xf>
    <xf borderId="21" fillId="0" fontId="24" numFmtId="0" xfId="0" applyAlignment="1" applyBorder="1" applyFont="1">
      <alignment horizontal="center" vertical="center"/>
    </xf>
    <xf borderId="26" fillId="6" fontId="10" numFmtId="0" xfId="0" applyAlignment="1" applyBorder="1" applyFont="1">
      <alignment horizontal="center" vertical="center"/>
    </xf>
    <xf borderId="23" fillId="6" fontId="10" numFmtId="0" xfId="0" applyAlignment="1" applyBorder="1" applyFont="1">
      <alignment horizontal="center" vertical="center"/>
    </xf>
    <xf borderId="0" fillId="0" fontId="13" numFmtId="0" xfId="0" applyFont="1"/>
    <xf borderId="21" fillId="0" fontId="25" numFmtId="0" xfId="0" applyAlignment="1" applyBorder="1" applyFont="1">
      <alignment horizontal="center" shrinkToFit="0" vertical="center" wrapText="1"/>
    </xf>
    <xf borderId="21" fillId="0" fontId="11" numFmtId="167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25" fillId="0" fontId="11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left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11" fillId="0" fontId="23" numFmtId="0" xfId="0" applyAlignment="1" applyBorder="1" applyFont="1">
      <alignment horizontal="center" vertical="center"/>
    </xf>
    <xf borderId="27" fillId="4" fontId="13" numFmtId="0" xfId="0" applyBorder="1" applyFont="1"/>
    <xf borderId="1" fillId="4" fontId="26" numFmtId="0" xfId="0" applyAlignment="1" applyBorder="1" applyFont="1">
      <alignment horizontal="center" vertical="center"/>
    </xf>
    <xf quotePrefix="1" borderId="11" fillId="0" fontId="11" numFmtId="0" xfId="0" applyAlignment="1" applyBorder="1" applyFont="1">
      <alignment horizontal="left" shrinkToFit="0" vertical="center" wrapText="1"/>
    </xf>
    <xf borderId="11" fillId="4" fontId="15" numFmtId="0" xfId="0" applyAlignment="1" applyBorder="1" applyFont="1">
      <alignment horizontal="center" vertical="center"/>
    </xf>
    <xf borderId="28" fillId="6" fontId="10" numFmtId="0" xfId="0" applyAlignment="1" applyBorder="1" applyFont="1">
      <alignment horizontal="center" vertical="center"/>
    </xf>
    <xf borderId="29" fillId="0" fontId="7" numFmtId="0" xfId="0" applyBorder="1" applyFont="1"/>
    <xf borderId="30" fillId="0" fontId="7" numFmtId="0" xfId="0" applyBorder="1" applyFont="1"/>
    <xf borderId="11" fillId="0" fontId="11" numFmtId="166" xfId="0" applyAlignment="1" applyBorder="1" applyFont="1" applyNumberFormat="1">
      <alignment horizontal="center" vertical="center"/>
    </xf>
    <xf borderId="31" fillId="0" fontId="11" numFmtId="0" xfId="0" applyAlignment="1" applyBorder="1" applyFont="1">
      <alignment horizontal="center" vertical="center"/>
    </xf>
    <xf borderId="31" fillId="0" fontId="11" numFmtId="0" xfId="0" applyAlignment="1" applyBorder="1" applyFont="1">
      <alignment horizontal="center" shrinkToFit="0" vertical="center" wrapText="1"/>
    </xf>
    <xf quotePrefix="1" borderId="31" fillId="0" fontId="11" numFmtId="0" xfId="0" applyAlignment="1" applyBorder="1" applyFont="1">
      <alignment shrinkToFit="0" vertical="center" wrapText="1"/>
    </xf>
    <xf borderId="32" fillId="0" fontId="13" numFmtId="0" xfId="0" applyAlignment="1" applyBorder="1" applyFont="1">
      <alignment horizontal="center" vertical="center"/>
    </xf>
    <xf borderId="33" fillId="0" fontId="11" numFmtId="0" xfId="0" applyAlignment="1" applyBorder="1" applyFont="1">
      <alignment horizontal="center" vertical="center"/>
    </xf>
    <xf borderId="34" fillId="0" fontId="11" numFmtId="0" xfId="0" applyAlignment="1" applyBorder="1" applyFont="1">
      <alignment horizontal="center" shrinkToFit="0" vertical="center" wrapText="1"/>
    </xf>
    <xf borderId="34" fillId="8" fontId="3" numFmtId="0" xfId="0" applyAlignment="1" applyBorder="1" applyFont="1">
      <alignment horizontal="center" shrinkToFit="0" vertical="center" wrapText="1"/>
    </xf>
    <xf borderId="11" fillId="4" fontId="11" numFmtId="0" xfId="0" applyAlignment="1" applyBorder="1" applyFont="1">
      <alignment horizontal="center" vertical="center"/>
    </xf>
    <xf borderId="34" fillId="0" fontId="27" numFmtId="0" xfId="0" applyAlignment="1" applyBorder="1" applyFont="1">
      <alignment shrinkToFit="0" vertical="center" wrapText="1"/>
    </xf>
    <xf quotePrefix="1" borderId="34" fillId="0" fontId="11" numFmtId="0" xfId="0" applyAlignment="1" applyBorder="1" applyFont="1">
      <alignment shrinkToFit="0" vertical="center" wrapText="1"/>
    </xf>
    <xf borderId="34" fillId="0" fontId="11" numFmtId="0" xfId="0" applyAlignment="1" applyBorder="1" applyFont="1">
      <alignment shrinkToFit="0" vertical="center" wrapText="1"/>
    </xf>
    <xf quotePrefix="1" borderId="34" fillId="0" fontId="28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vertical="center"/>
    </xf>
    <xf borderId="34" fillId="0" fontId="11" numFmtId="0" xfId="0" applyAlignment="1" applyBorder="1" applyFont="1">
      <alignment horizontal="center" vertical="center"/>
    </xf>
    <xf borderId="34" fillId="0" fontId="25" numFmtId="0" xfId="0" applyAlignment="1" applyBorder="1" applyFont="1">
      <alignment horizontal="center" shrinkToFit="0" vertical="center" wrapText="1"/>
    </xf>
    <xf borderId="33" fillId="0" fontId="11" numFmtId="0" xfId="0" applyAlignment="1" applyBorder="1" applyFont="1">
      <alignment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6" fillId="0" fontId="7" numFmtId="0" xfId="0" applyBorder="1" applyFont="1"/>
    <xf borderId="11" fillId="0" fontId="29" numFmtId="0" xfId="0" applyAlignment="1" applyBorder="1" applyFont="1">
      <alignment horizontal="center" vertical="center"/>
    </xf>
    <xf quotePrefix="1" borderId="33" fillId="0" fontId="11" numFmtId="0" xfId="0" applyAlignment="1" applyBorder="1" applyFont="1">
      <alignment shrinkToFit="0" vertical="center" wrapText="1"/>
    </xf>
    <xf borderId="37" fillId="0" fontId="11" numFmtId="0" xfId="0" applyAlignment="1" applyBorder="1" applyFont="1">
      <alignment horizontal="center" vertical="center"/>
    </xf>
    <xf borderId="38" fillId="7" fontId="11" numFmtId="0" xfId="0" applyAlignment="1" applyBorder="1" applyFont="1">
      <alignment horizontal="center" shrinkToFit="0" vertical="center" wrapText="1"/>
    </xf>
    <xf borderId="39" fillId="7" fontId="30" numFmtId="0" xfId="0" applyAlignment="1" applyBorder="1" applyFont="1">
      <alignment horizontal="center" vertical="center"/>
    </xf>
    <xf quotePrefix="1" borderId="34" fillId="4" fontId="11" numFmtId="0" xfId="0" applyAlignment="1" applyBorder="1" applyFont="1">
      <alignment shrinkToFit="0" vertical="center" wrapText="1"/>
    </xf>
    <xf borderId="36" fillId="0" fontId="11" numFmtId="0" xfId="0" applyAlignment="1" applyBorder="1" applyFont="1">
      <alignment horizontal="center" shrinkToFit="0" vertical="center" wrapText="1"/>
    </xf>
    <xf borderId="38" fillId="8" fontId="13" numFmtId="16" xfId="0" applyAlignment="1" applyBorder="1" applyFont="1" applyNumberFormat="1">
      <alignment vertical="center"/>
    </xf>
    <xf borderId="40" fillId="0" fontId="3" numFmtId="0" xfId="0" applyAlignment="1" applyBorder="1" applyFont="1">
      <alignment horizontal="center" shrinkToFit="0" vertical="center" wrapText="1"/>
    </xf>
    <xf borderId="40" fillId="0" fontId="7" numFmtId="0" xfId="0" applyBorder="1" applyFont="1"/>
    <xf borderId="41" fillId="0" fontId="13" numFmtId="0" xfId="0" applyAlignment="1" applyBorder="1" applyFont="1">
      <alignment horizontal="center" vertical="center"/>
    </xf>
    <xf borderId="36" fillId="0" fontId="13" numFmtId="0" xfId="0" applyAlignment="1" applyBorder="1" applyFont="1">
      <alignment horizontal="center" vertical="center"/>
    </xf>
    <xf borderId="38" fillId="8" fontId="13" numFmtId="16" xfId="0" applyBorder="1" applyFont="1" applyNumberFormat="1"/>
    <xf borderId="34" fillId="0" fontId="31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42" fillId="0" fontId="11" numFmtId="0" xfId="0" applyAlignment="1" applyBorder="1" applyFont="1">
      <alignment horizontal="center" vertical="center"/>
    </xf>
    <xf borderId="42" fillId="8" fontId="13" numFmtId="16" xfId="0" applyAlignment="1" applyBorder="1" applyFont="1" applyNumberFormat="1">
      <alignment vertical="center"/>
    </xf>
    <xf borderId="43" fillId="0" fontId="3" numFmtId="0" xfId="0" applyAlignment="1" applyBorder="1" applyFont="1">
      <alignment horizontal="center" shrinkToFit="0" vertical="center" wrapText="1"/>
    </xf>
    <xf borderId="44" fillId="0" fontId="7" numFmtId="0" xfId="0" applyBorder="1" applyFont="1"/>
    <xf borderId="45" fillId="0" fontId="7" numFmtId="0" xfId="0" applyBorder="1" applyFont="1"/>
    <xf borderId="42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11" fillId="8" fontId="32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1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K7PYDZ4F1f9a0STQ-Xuuu55vjPTuNt4v?usp=sharing" TargetMode="External"/><Relationship Id="rId22" Type="http://schemas.openxmlformats.org/officeDocument/2006/relationships/hyperlink" Target="https://drive.google.com/drive/folders/19DSBsemLAVgG1SKeEBIeb_W5a81l-0EA?usp=drive_link" TargetMode="External"/><Relationship Id="rId21" Type="http://schemas.openxmlformats.org/officeDocument/2006/relationships/hyperlink" Target="https://drive.google.com/drive/folders/16QYbX7GroRV9dYUZGBXfPW4H9gJFIClC?usp=sharing" TargetMode="External"/><Relationship Id="rId24" Type="http://schemas.openxmlformats.org/officeDocument/2006/relationships/hyperlink" Target="https://drive.google.com/drive/folders/16QYbX7GroRV9dYUZGBXfPW4H9gJFIClC?usp=sharing" TargetMode="External"/><Relationship Id="rId23" Type="http://schemas.openxmlformats.org/officeDocument/2006/relationships/hyperlink" Target="https://drive.google.com/drive/folders/1K7PYDZ4F1f9a0STQ-Xuuu55vjPTuNt4v?usp=sharing" TargetMode="External"/><Relationship Id="rId1" Type="http://schemas.openxmlformats.org/officeDocument/2006/relationships/hyperlink" Target="https://drive.google.com/drive/folders/19DSBsemLAVgG1SKeEBIeb_W5a81l-0EA?usp=drive_link" TargetMode="External"/><Relationship Id="rId2" Type="http://schemas.openxmlformats.org/officeDocument/2006/relationships/hyperlink" Target="https://drive.google.com/drive/folders/16QYbX7GroRV9dYUZGBXfPW4H9gJFIClC?usp=sharing" TargetMode="External"/><Relationship Id="rId3" Type="http://schemas.openxmlformats.org/officeDocument/2006/relationships/hyperlink" Target="https://drive.google.com/drive/folders/19DSBsemLAVgG1SKeEBIeb_W5a81l-0EA?usp=drive_link" TargetMode="External"/><Relationship Id="rId4" Type="http://schemas.openxmlformats.org/officeDocument/2006/relationships/hyperlink" Target="https://drive.google.com/drive/folders/16QYbX7GroRV9dYUZGBXfPW4H9gJFIClC?usp=sharing" TargetMode="External"/><Relationship Id="rId9" Type="http://schemas.openxmlformats.org/officeDocument/2006/relationships/hyperlink" Target="https://drive.google.com/drive/folders/19DSBsemLAVgG1SKeEBIeb_W5a81l-0EA?usp=drive_link" TargetMode="External"/><Relationship Id="rId26" Type="http://schemas.openxmlformats.org/officeDocument/2006/relationships/hyperlink" Target="https://drive.google.com/drive/folders/1K7PYDZ4F1f9a0STQ-Xuuu55vjPTuNt4v?usp=sharing" TargetMode="External"/><Relationship Id="rId25" Type="http://schemas.openxmlformats.org/officeDocument/2006/relationships/hyperlink" Target="https://drive.google.com/drive/folders/19DSBsemLAVgG1SKeEBIeb_W5a81l-0EA?usp=drive_link" TargetMode="External"/><Relationship Id="rId28" Type="http://schemas.openxmlformats.org/officeDocument/2006/relationships/hyperlink" Target="https://drive.google.com/drive/folders/1tfSmA1BEZ5wDR13JTYJwQ_MOMG0sblB2?usp=sharing" TargetMode="External"/><Relationship Id="rId27" Type="http://schemas.openxmlformats.org/officeDocument/2006/relationships/hyperlink" Target="https://drive.google.com/drive/folders/1tfSmA1BEZ5wDR13JTYJwQ_MOMG0sblB2?usp=sharing" TargetMode="External"/><Relationship Id="rId5" Type="http://schemas.openxmlformats.org/officeDocument/2006/relationships/hyperlink" Target="https://drive.google.com/drive/folders/19DSBsemLAVgG1SKeEBIeb_W5a81l-0EA?usp=drive_link" TargetMode="External"/><Relationship Id="rId6" Type="http://schemas.openxmlformats.org/officeDocument/2006/relationships/hyperlink" Target="https://drive.google.com/drive/folders/16QYbX7GroRV9dYUZGBXfPW4H9gJFIClC?usp=sharing" TargetMode="External"/><Relationship Id="rId29" Type="http://schemas.openxmlformats.org/officeDocument/2006/relationships/hyperlink" Target="https://drive.google.com/drive/folders/1tfSmA1BEZ5wDR13JTYJwQ_MOMG0sblB2?usp=sharing" TargetMode="External"/><Relationship Id="rId7" Type="http://schemas.openxmlformats.org/officeDocument/2006/relationships/hyperlink" Target="https://drive.google.com/drive/folders/19DSBsemLAVgG1SKeEBIeb_W5a81l-0EA?usp=drive_link" TargetMode="External"/><Relationship Id="rId8" Type="http://schemas.openxmlformats.org/officeDocument/2006/relationships/hyperlink" Target="https://drive.google.com/drive/folders/16QYbX7GroRV9dYUZGBXfPW4H9gJFIClC?usp=sharing" TargetMode="External"/><Relationship Id="rId31" Type="http://schemas.openxmlformats.org/officeDocument/2006/relationships/hyperlink" Target="https://drive.google.com/drive/folders/1mmthFz8srQwiojt6xrnc5EvBZuz-_dkX?usp=sharing" TargetMode="External"/><Relationship Id="rId30" Type="http://schemas.openxmlformats.org/officeDocument/2006/relationships/hyperlink" Target="https://drive.google.com/drive/folders/1mmthFz8srQwiojt6xrnc5EvBZuz-_dkX?usp=sharing" TargetMode="External"/><Relationship Id="rId11" Type="http://schemas.openxmlformats.org/officeDocument/2006/relationships/hyperlink" Target="https://drive.google.com/drive/folders/1tfSmA1BEZ5wDR13JTYJwQ_MOMG0sblB2?usp=sharing" TargetMode="External"/><Relationship Id="rId10" Type="http://schemas.openxmlformats.org/officeDocument/2006/relationships/hyperlink" Target="https://drive.google.com/drive/folders/1tfSmA1BEZ5wDR13JTYJwQ_MOMG0sblB2?usp=sharin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drive/folders/1mmthFz8srQwiojt6xrnc5EvBZuz-_dkX?usp=sharing" TargetMode="External"/><Relationship Id="rId12" Type="http://schemas.openxmlformats.org/officeDocument/2006/relationships/hyperlink" Target="https://drive.google.com/drive/folders/1tfSmA1BEZ5wDR13JTYJwQ_MOMG0sblB2?usp=sharing" TargetMode="External"/><Relationship Id="rId15" Type="http://schemas.openxmlformats.org/officeDocument/2006/relationships/hyperlink" Target="https://drive.google.com/drive/folders/16QYbX7GroRV9dYUZGBXfPW4H9gJFIClC?usp=sharing" TargetMode="External"/><Relationship Id="rId14" Type="http://schemas.openxmlformats.org/officeDocument/2006/relationships/hyperlink" Target="https://drive.google.com/drive/folders/1mmthFz8srQwiojt6xrnc5EvBZuz-_dkX?usp=sharing" TargetMode="External"/><Relationship Id="rId17" Type="http://schemas.openxmlformats.org/officeDocument/2006/relationships/hyperlink" Target="https://drive.google.com/drive/folders/1K7PYDZ4F1f9a0STQ-Xuuu55vjPTuNt4v?usp=sharing" TargetMode="External"/><Relationship Id="rId16" Type="http://schemas.openxmlformats.org/officeDocument/2006/relationships/hyperlink" Target="https://drive.google.com/drive/folders/19DSBsemLAVgG1SKeEBIeb_W5a81l-0EA?usp=drive_link" TargetMode="External"/><Relationship Id="rId19" Type="http://schemas.openxmlformats.org/officeDocument/2006/relationships/hyperlink" Target="https://drive.google.com/drive/folders/19DSBsemLAVgG1SKeEBIeb_W5a81l-0EA?usp=drive_link" TargetMode="External"/><Relationship Id="rId18" Type="http://schemas.openxmlformats.org/officeDocument/2006/relationships/hyperlink" Target="https://drive.google.com/drive/folders/16QYbX7GroRV9dYUZGBXfPW4H9gJFIClC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RiExEn9g7PB0AeFTlTxE8bQDtZiJNJs/edit?usp=drive_link&amp;ouid=106692602941737424099&amp;rtpof=true&amp;sd=true" TargetMode="External"/><Relationship Id="rId2" Type="http://schemas.openxmlformats.org/officeDocument/2006/relationships/hyperlink" Target="https://docs.google.com/presentation/d/1uXpqcUnXGMVSxELWLPIGsmpFv7DFvKG0/edit?usp=drive_link&amp;ouid=106692602941737424099&amp;rtpof=true&amp;sd=true" TargetMode="External"/><Relationship Id="rId3" Type="http://schemas.openxmlformats.org/officeDocument/2006/relationships/hyperlink" Target="https://docs.google.com/presentation/d/170Hq11wqOoGzOSHH0B8Fggk6XwatQ73L/edit?usp=drive_link&amp;ouid=106692602941737424099&amp;rtpof=true&amp;sd=true" TargetMode="External"/><Relationship Id="rId4" Type="http://schemas.openxmlformats.org/officeDocument/2006/relationships/hyperlink" Target="https://docs.google.com/presentation/d/1y0pXAbinmugyQHROiHaPQ-XC3JIxz08o/edit?usp=drive_link&amp;ouid=106692602941737424099&amp;rtpof=true&amp;sd=true" TargetMode="External"/><Relationship Id="rId9" Type="http://schemas.openxmlformats.org/officeDocument/2006/relationships/hyperlink" Target="https://docs.google.com/presentation/d/1cfYXAwbjKXvL1Lf8hbG8ebvhxwD6U6p7/edit?usp=drive_link&amp;ouid=106692602941737424099&amp;rtpof=true&amp;sd=true" TargetMode="External"/><Relationship Id="rId5" Type="http://schemas.openxmlformats.org/officeDocument/2006/relationships/hyperlink" Target="https://docs.google.com/presentation/d/1BZPzE_UPru6wuFMzRT7j706Ar4ZM2zwY/edit?usp=drive_link&amp;ouid=106692602941737424099&amp;rtpof=true&amp;sd=true" TargetMode="External"/><Relationship Id="rId6" Type="http://schemas.openxmlformats.org/officeDocument/2006/relationships/hyperlink" Target="https://drive.google.com/drive/folders/1EjCLaO1LDmUZ3IldZGxz6JKmihcMc7aP?usp=drive_link" TargetMode="External"/><Relationship Id="rId7" Type="http://schemas.openxmlformats.org/officeDocument/2006/relationships/hyperlink" Target="https://docs.google.com/presentation/d/1fDGRTAjPq-q0R3-qTJ4jhRTC9M5uLga1/edit?usp=drive_link&amp;ouid=106692602941737424099&amp;rtpof=true&amp;sd=true" TargetMode="External"/><Relationship Id="rId8" Type="http://schemas.openxmlformats.org/officeDocument/2006/relationships/hyperlink" Target="https://docs.google.com/presentation/d/1zd2DnKrRHsOOofuClIUawckF-DVn0yZa/edit?usp=drive_link&amp;ouid=106692602941737424099&amp;rtpof=true&amp;sd=true" TargetMode="External"/><Relationship Id="rId11" Type="http://schemas.openxmlformats.org/officeDocument/2006/relationships/hyperlink" Target="https://docs.google.com/presentation/d/128As32W1uh9IXzCl2ZI178uFLC4OrYCn/edit?usp=drive_link&amp;ouid=106692602941737424099&amp;rtpof=true&amp;sd=true" TargetMode="External"/><Relationship Id="rId10" Type="http://schemas.openxmlformats.org/officeDocument/2006/relationships/hyperlink" Target="https://drive.google.com/file/d/1S7xLCyGiGRiN8WIkiegyh0yFdBtfa1uM/view?usp=drive_link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rive.google.com/drive/folders/1EjCLaO1LDmUZ3IldZGxz6JKmihcMc7aP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71"/>
    <col customWidth="1" min="2" max="2" width="14.0"/>
    <col customWidth="1" min="3" max="3" width="18.43"/>
    <col customWidth="1" min="4" max="4" width="11.71"/>
    <col customWidth="1" min="5" max="5" width="44.86"/>
    <col customWidth="1" min="6" max="6" width="39.14"/>
    <col customWidth="1" min="7" max="7" width="47.0"/>
    <col customWidth="1" min="8" max="8" width="26.14"/>
    <col customWidth="1" min="9" max="9" width="19.86"/>
    <col customWidth="1" min="10" max="10" width="17.57"/>
    <col customWidth="1" min="11" max="25" width="8.71"/>
  </cols>
  <sheetData>
    <row r="1" ht="60.0" customHeight="1">
      <c r="A1" s="1" t="s">
        <v>0</v>
      </c>
    </row>
    <row r="2" ht="29.25" customHeight="1">
      <c r="A2" s="3" t="s">
        <v>2</v>
      </c>
      <c r="B2" s="6" t="s">
        <v>3</v>
      </c>
      <c r="C2" s="3" t="s">
        <v>6</v>
      </c>
      <c r="D2" s="6" t="s">
        <v>7</v>
      </c>
      <c r="E2" s="8" t="s">
        <v>8</v>
      </c>
      <c r="F2" s="9"/>
      <c r="G2" s="9"/>
      <c r="H2" s="9"/>
      <c r="I2" s="11"/>
      <c r="J2" s="6" t="s">
        <v>9</v>
      </c>
    </row>
    <row r="3" ht="21.0" customHeight="1">
      <c r="A3" s="13"/>
      <c r="B3" s="13"/>
      <c r="C3" s="13"/>
      <c r="D3" s="13"/>
      <c r="E3" s="3" t="s">
        <v>10</v>
      </c>
      <c r="F3" s="3" t="s">
        <v>11</v>
      </c>
      <c r="G3" s="3" t="s">
        <v>12</v>
      </c>
      <c r="H3" s="15" t="s">
        <v>13</v>
      </c>
      <c r="I3" s="11"/>
      <c r="J3" s="13"/>
    </row>
    <row r="4" ht="37.5" customHeight="1">
      <c r="A4" s="16"/>
      <c r="B4" s="16"/>
      <c r="C4" s="13"/>
      <c r="D4" s="17"/>
      <c r="E4" s="17"/>
      <c r="F4" s="17"/>
      <c r="G4" s="17"/>
      <c r="H4" s="18" t="s">
        <v>15</v>
      </c>
      <c r="I4" s="18" t="s">
        <v>17</v>
      </c>
      <c r="J4" s="17"/>
    </row>
    <row r="5" ht="39.0" customHeight="1">
      <c r="A5" s="20" t="s">
        <v>18</v>
      </c>
      <c r="B5" s="23"/>
      <c r="C5" s="23"/>
      <c r="D5" s="23"/>
      <c r="E5" s="23"/>
      <c r="F5" s="23"/>
      <c r="G5" s="23"/>
      <c r="H5" s="23"/>
      <c r="I5" s="23"/>
      <c r="J5" s="27"/>
    </row>
    <row r="6" ht="84.75" customHeight="1">
      <c r="A6" s="31"/>
      <c r="B6" s="33" t="s">
        <v>23</v>
      </c>
      <c r="C6" s="35" t="s">
        <v>22</v>
      </c>
      <c r="D6" s="37" t="s">
        <v>24</v>
      </c>
      <c r="E6" s="38" t="s">
        <v>28</v>
      </c>
      <c r="F6" s="38" t="s">
        <v>26</v>
      </c>
      <c r="G6" s="38" t="s">
        <v>27</v>
      </c>
      <c r="H6" s="37" t="s">
        <v>24</v>
      </c>
      <c r="I6" s="39" t="s">
        <v>29</v>
      </c>
      <c r="J6" s="40"/>
    </row>
    <row r="7" ht="61.5" customHeight="1">
      <c r="A7" s="42"/>
      <c r="B7" s="44" t="s">
        <v>30</v>
      </c>
      <c r="C7" s="45" t="s">
        <v>22</v>
      </c>
      <c r="D7" s="44">
        <v>6.0</v>
      </c>
      <c r="E7" s="47" t="s">
        <v>31</v>
      </c>
      <c r="F7" s="47" t="s">
        <v>35</v>
      </c>
      <c r="G7" s="47" t="s">
        <v>36</v>
      </c>
      <c r="H7" s="44">
        <v>6.0</v>
      </c>
      <c r="I7" s="48" t="s">
        <v>37</v>
      </c>
      <c r="J7" s="50"/>
    </row>
    <row r="8" ht="66.75" customHeight="1">
      <c r="A8" s="42"/>
      <c r="B8" s="44" t="s">
        <v>40</v>
      </c>
      <c r="C8" s="45" t="s">
        <v>22</v>
      </c>
      <c r="D8" s="44">
        <v>7.0</v>
      </c>
      <c r="E8" s="47" t="s">
        <v>41</v>
      </c>
      <c r="F8" s="47" t="s">
        <v>42</v>
      </c>
      <c r="G8" s="47" t="s">
        <v>43</v>
      </c>
      <c r="H8" s="44">
        <v>7.0</v>
      </c>
      <c r="I8" s="48" t="s">
        <v>44</v>
      </c>
      <c r="J8" s="50"/>
    </row>
    <row r="9" ht="101.25" customHeight="1">
      <c r="A9" s="42"/>
      <c r="B9" s="44" t="s">
        <v>46</v>
      </c>
      <c r="C9" s="45" t="s">
        <v>22</v>
      </c>
      <c r="D9" s="52" t="s">
        <v>39</v>
      </c>
      <c r="E9" s="47" t="s">
        <v>49</v>
      </c>
      <c r="F9" s="47" t="s">
        <v>50</v>
      </c>
      <c r="G9" s="47" t="s">
        <v>48</v>
      </c>
      <c r="H9" s="52" t="s">
        <v>39</v>
      </c>
      <c r="I9" s="48" t="s">
        <v>51</v>
      </c>
      <c r="J9" s="50"/>
    </row>
    <row r="10" ht="93.75" customHeight="1">
      <c r="A10" s="44"/>
      <c r="B10" s="44" t="s">
        <v>52</v>
      </c>
      <c r="C10" s="45" t="s">
        <v>22</v>
      </c>
      <c r="D10" s="53" t="s">
        <v>53</v>
      </c>
      <c r="E10" s="47" t="s">
        <v>55</v>
      </c>
      <c r="F10" s="47" t="s">
        <v>56</v>
      </c>
      <c r="G10" s="55" t="s">
        <v>57</v>
      </c>
      <c r="H10" s="56" t="s">
        <v>58</v>
      </c>
      <c r="I10" s="48" t="s">
        <v>60</v>
      </c>
      <c r="J10" s="48"/>
    </row>
    <row r="11" ht="91.5" customHeight="1">
      <c r="A11" s="57"/>
      <c r="B11" s="59" t="s">
        <v>61</v>
      </c>
      <c r="C11" s="61" t="s">
        <v>62</v>
      </c>
      <c r="D11" s="63" t="s">
        <v>64</v>
      </c>
      <c r="E11" s="64" t="s">
        <v>65</v>
      </c>
      <c r="F11" s="64" t="s">
        <v>66</v>
      </c>
      <c r="G11" s="64" t="s">
        <v>67</v>
      </c>
      <c r="H11" s="63" t="s">
        <v>64</v>
      </c>
      <c r="I11" s="61" t="s">
        <v>29</v>
      </c>
      <c r="J11" s="6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</row>
    <row r="12" ht="74.25" customHeight="1">
      <c r="A12" s="44"/>
      <c r="B12" s="44" t="s">
        <v>68</v>
      </c>
      <c r="C12" s="48" t="s">
        <v>62</v>
      </c>
      <c r="D12" s="71" t="s">
        <v>70</v>
      </c>
      <c r="E12" s="47" t="s">
        <v>71</v>
      </c>
      <c r="F12" s="47" t="s">
        <v>72</v>
      </c>
      <c r="G12" s="47" t="s">
        <v>73</v>
      </c>
      <c r="H12" s="44">
        <v>12.0</v>
      </c>
      <c r="I12" s="48" t="s">
        <v>74</v>
      </c>
      <c r="J12" s="50"/>
    </row>
    <row r="13" ht="78.0" customHeight="1">
      <c r="A13" s="57"/>
      <c r="B13" s="44" t="s">
        <v>75</v>
      </c>
      <c r="C13" s="48" t="s">
        <v>62</v>
      </c>
      <c r="D13" s="71" t="s">
        <v>70</v>
      </c>
      <c r="E13" s="47" t="s">
        <v>71</v>
      </c>
      <c r="F13" s="47" t="s">
        <v>72</v>
      </c>
      <c r="G13" s="47" t="s">
        <v>73</v>
      </c>
      <c r="H13" s="44">
        <v>13.0</v>
      </c>
      <c r="I13" s="48" t="s">
        <v>76</v>
      </c>
      <c r="J13" s="50"/>
    </row>
    <row r="14" ht="125.25" customHeight="1">
      <c r="A14" s="44"/>
      <c r="B14" s="44" t="s">
        <v>77</v>
      </c>
      <c r="C14" s="48" t="s">
        <v>62</v>
      </c>
      <c r="D14" s="74" t="s">
        <v>78</v>
      </c>
      <c r="E14" s="47" t="s">
        <v>79</v>
      </c>
      <c r="F14" s="47" t="s">
        <v>80</v>
      </c>
      <c r="G14" s="47" t="s">
        <v>81</v>
      </c>
      <c r="H14" s="71" t="s">
        <v>78</v>
      </c>
      <c r="I14" s="76" t="s">
        <v>82</v>
      </c>
      <c r="J14" s="50"/>
    </row>
    <row r="15" ht="54.75" customHeight="1">
      <c r="A15" s="57"/>
      <c r="B15" s="44" t="s">
        <v>85</v>
      </c>
      <c r="C15" s="48" t="s">
        <v>62</v>
      </c>
      <c r="D15" s="74" t="s">
        <v>86</v>
      </c>
      <c r="E15" s="47" t="s">
        <v>87</v>
      </c>
      <c r="F15" s="47" t="s">
        <v>88</v>
      </c>
      <c r="G15" s="47" t="s">
        <v>89</v>
      </c>
      <c r="H15" s="44" t="s">
        <v>86</v>
      </c>
      <c r="I15" s="76" t="s">
        <v>91</v>
      </c>
      <c r="J15" s="50"/>
    </row>
    <row r="16" ht="66.0" customHeight="1">
      <c r="A16" s="44"/>
      <c r="B16" s="44" t="s">
        <v>92</v>
      </c>
      <c r="C16" s="48" t="s">
        <v>62</v>
      </c>
      <c r="D16" s="78" t="s">
        <v>53</v>
      </c>
      <c r="E16" s="80" t="s">
        <v>96</v>
      </c>
      <c r="F16" s="47" t="s">
        <v>94</v>
      </c>
      <c r="G16" s="55" t="s">
        <v>57</v>
      </c>
      <c r="H16" s="56" t="s">
        <v>100</v>
      </c>
      <c r="I16" s="48" t="s">
        <v>101</v>
      </c>
      <c r="J16" s="48"/>
    </row>
    <row r="17" ht="108.0" customHeight="1">
      <c r="A17" s="57"/>
      <c r="B17" s="44" t="s">
        <v>102</v>
      </c>
      <c r="C17" s="48" t="s">
        <v>103</v>
      </c>
      <c r="D17" s="44" t="s">
        <v>104</v>
      </c>
      <c r="E17" s="47" t="s">
        <v>105</v>
      </c>
      <c r="F17" s="47" t="s">
        <v>106</v>
      </c>
      <c r="G17" s="47" t="s">
        <v>107</v>
      </c>
      <c r="H17" s="44" t="s">
        <v>104</v>
      </c>
      <c r="I17" s="48" t="s">
        <v>108</v>
      </c>
      <c r="J17" s="50"/>
    </row>
    <row r="18" ht="94.5" customHeight="1">
      <c r="A18" s="44"/>
      <c r="B18" s="44" t="s">
        <v>109</v>
      </c>
      <c r="C18" s="48" t="s">
        <v>103</v>
      </c>
      <c r="D18" s="44" t="s">
        <v>111</v>
      </c>
      <c r="E18" s="47" t="s">
        <v>112</v>
      </c>
      <c r="F18" s="47" t="s">
        <v>113</v>
      </c>
      <c r="G18" s="47" t="s">
        <v>114</v>
      </c>
      <c r="H18" s="44">
        <v>20.0</v>
      </c>
      <c r="I18" s="48" t="s">
        <v>115</v>
      </c>
      <c r="J18" s="50"/>
    </row>
    <row r="19" ht="72.0" customHeight="1">
      <c r="A19" s="57"/>
      <c r="B19" s="44" t="s">
        <v>116</v>
      </c>
      <c r="C19" s="48" t="s">
        <v>103</v>
      </c>
      <c r="D19" s="44" t="s">
        <v>111</v>
      </c>
      <c r="E19" s="47" t="s">
        <v>112</v>
      </c>
      <c r="F19" s="47" t="s">
        <v>113</v>
      </c>
      <c r="G19" s="47" t="s">
        <v>114</v>
      </c>
      <c r="H19" s="44">
        <v>21.0</v>
      </c>
      <c r="I19" s="48" t="s">
        <v>117</v>
      </c>
      <c r="J19" s="50"/>
    </row>
    <row r="20" ht="96.0" customHeight="1">
      <c r="A20" s="44"/>
      <c r="B20" s="44" t="s">
        <v>118</v>
      </c>
      <c r="C20" s="48" t="s">
        <v>103</v>
      </c>
      <c r="D20" s="44" t="s">
        <v>120</v>
      </c>
      <c r="E20" s="47" t="s">
        <v>122</v>
      </c>
      <c r="F20" s="47" t="s">
        <v>124</v>
      </c>
      <c r="G20" s="47" t="s">
        <v>125</v>
      </c>
      <c r="H20" s="44" t="s">
        <v>120</v>
      </c>
      <c r="I20" s="48" t="s">
        <v>51</v>
      </c>
      <c r="J20" s="50"/>
    </row>
    <row r="21" ht="103.5" customHeight="1">
      <c r="A21" s="57"/>
      <c r="B21" s="44" t="s">
        <v>126</v>
      </c>
      <c r="C21" s="48" t="s">
        <v>103</v>
      </c>
      <c r="D21" s="74" t="s">
        <v>127</v>
      </c>
      <c r="E21" s="47" t="s">
        <v>128</v>
      </c>
      <c r="F21" s="47" t="s">
        <v>129</v>
      </c>
      <c r="G21" s="47" t="s">
        <v>130</v>
      </c>
      <c r="H21" s="44" t="s">
        <v>127</v>
      </c>
      <c r="I21" s="48" t="s">
        <v>44</v>
      </c>
      <c r="J21" s="82"/>
    </row>
    <row r="22" ht="63.0" customHeight="1">
      <c r="A22" s="44"/>
      <c r="B22" s="44" t="s">
        <v>132</v>
      </c>
      <c r="C22" s="48" t="s">
        <v>103</v>
      </c>
      <c r="D22" s="53" t="s">
        <v>53</v>
      </c>
      <c r="E22" s="80" t="s">
        <v>134</v>
      </c>
      <c r="F22" s="47" t="s">
        <v>113</v>
      </c>
      <c r="G22" s="55" t="s">
        <v>57</v>
      </c>
      <c r="H22" s="85" t="s">
        <v>135</v>
      </c>
      <c r="I22" s="48" t="s">
        <v>136</v>
      </c>
      <c r="J22" s="48"/>
    </row>
    <row r="23" ht="63.0" customHeight="1">
      <c r="A23" s="57"/>
      <c r="B23" s="44" t="s">
        <v>137</v>
      </c>
      <c r="C23" s="48" t="s">
        <v>138</v>
      </c>
      <c r="D23" s="44" t="s">
        <v>139</v>
      </c>
      <c r="E23" s="47" t="s">
        <v>140</v>
      </c>
      <c r="F23" s="47" t="s">
        <v>141</v>
      </c>
      <c r="G23" s="47" t="s">
        <v>142</v>
      </c>
      <c r="H23" s="48" t="s">
        <v>139</v>
      </c>
      <c r="I23" s="48" t="s">
        <v>29</v>
      </c>
      <c r="J23" s="50"/>
    </row>
    <row r="24" ht="63.0" customHeight="1">
      <c r="A24" s="44"/>
      <c r="B24" s="44" t="s">
        <v>143</v>
      </c>
      <c r="C24" s="48" t="s">
        <v>138</v>
      </c>
      <c r="D24" s="44" t="s">
        <v>144</v>
      </c>
      <c r="E24" s="47" t="s">
        <v>146</v>
      </c>
      <c r="F24" s="47" t="s">
        <v>147</v>
      </c>
      <c r="G24" s="47" t="s">
        <v>148</v>
      </c>
      <c r="H24" s="48">
        <v>30.0</v>
      </c>
      <c r="I24" s="48" t="s">
        <v>74</v>
      </c>
      <c r="J24" s="50"/>
    </row>
    <row r="25" ht="63.0" customHeight="1">
      <c r="A25" s="57"/>
      <c r="B25" s="44" t="s">
        <v>149</v>
      </c>
      <c r="C25" s="48" t="s">
        <v>138</v>
      </c>
      <c r="D25" s="44" t="s">
        <v>144</v>
      </c>
      <c r="E25" s="47" t="s">
        <v>146</v>
      </c>
      <c r="F25" s="47" t="s">
        <v>147</v>
      </c>
      <c r="G25" s="47" t="s">
        <v>148</v>
      </c>
      <c r="H25" s="48">
        <v>31.0</v>
      </c>
      <c r="I25" s="48" t="s">
        <v>76</v>
      </c>
      <c r="J25" s="50"/>
    </row>
    <row r="26" ht="15.75" customHeight="1">
      <c r="A26" s="44"/>
      <c r="B26" s="44" t="s">
        <v>150</v>
      </c>
      <c r="C26" s="48" t="s">
        <v>138</v>
      </c>
      <c r="D26" s="44" t="s">
        <v>152</v>
      </c>
      <c r="E26" s="47" t="s">
        <v>153</v>
      </c>
      <c r="F26" s="55" t="s">
        <v>155</v>
      </c>
      <c r="G26" s="47" t="s">
        <v>125</v>
      </c>
      <c r="H26" s="48" t="s">
        <v>152</v>
      </c>
      <c r="I26" s="48" t="s">
        <v>157</v>
      </c>
      <c r="J26" s="50"/>
    </row>
    <row r="27" ht="63.0" customHeight="1">
      <c r="A27" s="57"/>
      <c r="B27" s="44" t="s">
        <v>158</v>
      </c>
      <c r="C27" s="48" t="s">
        <v>138</v>
      </c>
      <c r="D27" s="44" t="s">
        <v>159</v>
      </c>
      <c r="E27" s="47" t="s">
        <v>160</v>
      </c>
      <c r="F27" s="55" t="s">
        <v>161</v>
      </c>
      <c r="G27" s="47" t="s">
        <v>162</v>
      </c>
      <c r="H27" s="48" t="s">
        <v>159</v>
      </c>
      <c r="I27" s="48" t="s">
        <v>51</v>
      </c>
      <c r="J27" s="50"/>
    </row>
    <row r="28" ht="79.5" customHeight="1">
      <c r="A28" s="44"/>
      <c r="B28" s="44" t="s">
        <v>165</v>
      </c>
      <c r="C28" s="48" t="s">
        <v>138</v>
      </c>
      <c r="D28" s="78" t="s">
        <v>53</v>
      </c>
      <c r="E28" s="80" t="s">
        <v>166</v>
      </c>
      <c r="F28" s="47" t="s">
        <v>167</v>
      </c>
      <c r="G28" s="55" t="s">
        <v>57</v>
      </c>
      <c r="H28" s="56" t="s">
        <v>168</v>
      </c>
      <c r="I28" s="48" t="s">
        <v>170</v>
      </c>
      <c r="J28" s="50"/>
    </row>
    <row r="29" ht="87.0" customHeight="1">
      <c r="A29" s="57"/>
      <c r="B29" s="44" t="s">
        <v>171</v>
      </c>
      <c r="C29" s="48" t="s">
        <v>172</v>
      </c>
      <c r="D29" s="44" t="s">
        <v>173</v>
      </c>
      <c r="E29" s="47" t="s">
        <v>174</v>
      </c>
      <c r="F29" s="47" t="s">
        <v>175</v>
      </c>
      <c r="G29" s="47" t="s">
        <v>176</v>
      </c>
      <c r="H29" s="48">
        <v>36.0</v>
      </c>
      <c r="I29" s="48" t="s">
        <v>115</v>
      </c>
      <c r="J29" s="50"/>
    </row>
    <row r="30" ht="93.0" customHeight="1">
      <c r="A30" s="44"/>
      <c r="B30" s="44" t="s">
        <v>179</v>
      </c>
      <c r="C30" s="48" t="s">
        <v>172</v>
      </c>
      <c r="D30" s="44" t="s">
        <v>173</v>
      </c>
      <c r="E30" s="47" t="s">
        <v>180</v>
      </c>
      <c r="F30" s="47" t="s">
        <v>175</v>
      </c>
      <c r="G30" s="47" t="s">
        <v>176</v>
      </c>
      <c r="H30" s="48">
        <v>37.0</v>
      </c>
      <c r="I30" s="48" t="s">
        <v>76</v>
      </c>
      <c r="J30" s="50"/>
    </row>
    <row r="31" ht="42.75" customHeight="1">
      <c r="A31" s="57"/>
      <c r="B31" s="44" t="s">
        <v>181</v>
      </c>
      <c r="C31" s="48" t="s">
        <v>172</v>
      </c>
      <c r="D31" s="44" t="s">
        <v>182</v>
      </c>
      <c r="E31" s="47" t="s">
        <v>184</v>
      </c>
      <c r="F31" s="47" t="s">
        <v>185</v>
      </c>
      <c r="G31" s="47" t="s">
        <v>186</v>
      </c>
      <c r="H31" s="48" t="s">
        <v>182</v>
      </c>
      <c r="I31" s="48" t="s">
        <v>187</v>
      </c>
      <c r="J31" s="50"/>
    </row>
    <row r="32" ht="42.75" customHeight="1">
      <c r="A32" s="44"/>
      <c r="B32" s="44" t="s">
        <v>188</v>
      </c>
      <c r="C32" s="48" t="s">
        <v>172</v>
      </c>
      <c r="D32" s="44" t="s">
        <v>189</v>
      </c>
      <c r="E32" s="47" t="s">
        <v>190</v>
      </c>
      <c r="F32" s="47" t="s">
        <v>191</v>
      </c>
      <c r="G32" s="47" t="s">
        <v>192</v>
      </c>
      <c r="H32" s="48" t="s">
        <v>189</v>
      </c>
      <c r="I32" s="48" t="s">
        <v>51</v>
      </c>
      <c r="J32" s="50"/>
    </row>
    <row r="33" ht="42.75" customHeight="1">
      <c r="A33" s="57"/>
      <c r="B33" s="44" t="s">
        <v>193</v>
      </c>
      <c r="C33" s="48" t="s">
        <v>172</v>
      </c>
      <c r="D33" s="44" t="s">
        <v>194</v>
      </c>
      <c r="E33" s="47" t="s">
        <v>195</v>
      </c>
      <c r="F33" s="47" t="s">
        <v>196</v>
      </c>
      <c r="G33" s="47" t="s">
        <v>197</v>
      </c>
      <c r="H33" s="48" t="s">
        <v>194</v>
      </c>
      <c r="I33" s="48" t="s">
        <v>198</v>
      </c>
      <c r="J33" s="50"/>
    </row>
    <row r="34" ht="64.5" customHeight="1">
      <c r="A34" s="44"/>
      <c r="B34" s="44" t="s">
        <v>200</v>
      </c>
      <c r="C34" s="48" t="s">
        <v>172</v>
      </c>
      <c r="D34" s="78" t="s">
        <v>53</v>
      </c>
      <c r="E34" s="80" t="s">
        <v>202</v>
      </c>
      <c r="F34" s="47" t="s">
        <v>175</v>
      </c>
      <c r="G34" s="55" t="s">
        <v>57</v>
      </c>
      <c r="H34" s="56" t="s">
        <v>205</v>
      </c>
      <c r="I34" s="48" t="s">
        <v>207</v>
      </c>
      <c r="J34" s="50"/>
    </row>
    <row r="35" ht="85.5" customHeight="1">
      <c r="A35" s="57"/>
      <c r="B35" s="44" t="s">
        <v>208</v>
      </c>
      <c r="C35" s="48" t="s">
        <v>209</v>
      </c>
      <c r="D35" s="71" t="s">
        <v>210</v>
      </c>
      <c r="E35" s="47" t="s">
        <v>211</v>
      </c>
      <c r="F35" s="47" t="s">
        <v>94</v>
      </c>
      <c r="G35" s="55" t="s">
        <v>213</v>
      </c>
      <c r="H35" s="48" t="s">
        <v>214</v>
      </c>
      <c r="I35" s="48" t="s">
        <v>101</v>
      </c>
      <c r="J35" s="87" t="s">
        <v>215</v>
      </c>
    </row>
    <row r="36" ht="81.0" customHeight="1">
      <c r="A36" s="44"/>
      <c r="B36" s="44" t="s">
        <v>218</v>
      </c>
      <c r="C36" s="48" t="s">
        <v>219</v>
      </c>
      <c r="D36" s="71" t="s">
        <v>220</v>
      </c>
      <c r="E36" s="47" t="s">
        <v>221</v>
      </c>
      <c r="F36" s="47" t="s">
        <v>113</v>
      </c>
      <c r="G36" s="55" t="s">
        <v>213</v>
      </c>
      <c r="H36" s="48" t="s">
        <v>222</v>
      </c>
      <c r="I36" s="48" t="s">
        <v>136</v>
      </c>
      <c r="J36" s="87" t="s">
        <v>215</v>
      </c>
    </row>
    <row r="37" ht="88.5" customHeight="1">
      <c r="A37" s="57"/>
      <c r="B37" s="44" t="s">
        <v>225</v>
      </c>
      <c r="C37" s="48" t="s">
        <v>226</v>
      </c>
      <c r="D37" s="44" t="s">
        <v>227</v>
      </c>
      <c r="E37" s="47" t="s">
        <v>228</v>
      </c>
      <c r="F37" s="47" t="s">
        <v>167</v>
      </c>
      <c r="G37" s="55" t="s">
        <v>213</v>
      </c>
      <c r="H37" s="48" t="s">
        <v>229</v>
      </c>
      <c r="I37" s="48" t="s">
        <v>170</v>
      </c>
      <c r="J37" s="88" t="s">
        <v>215</v>
      </c>
    </row>
    <row r="38" ht="42.75" customHeight="1">
      <c r="A38" s="44"/>
      <c r="B38" s="44" t="s">
        <v>231</v>
      </c>
      <c r="C38" s="48" t="s">
        <v>232</v>
      </c>
      <c r="D38" s="89"/>
      <c r="E38" s="90" t="s">
        <v>233</v>
      </c>
      <c r="F38" s="91"/>
      <c r="G38" s="91"/>
      <c r="H38" s="91"/>
      <c r="I38" s="92"/>
      <c r="J38" s="50"/>
    </row>
    <row r="39" ht="36.0" customHeight="1">
      <c r="A39" s="57"/>
      <c r="B39" s="44" t="s">
        <v>234</v>
      </c>
      <c r="C39" s="48" t="s">
        <v>232</v>
      </c>
      <c r="D39" s="89"/>
      <c r="E39" s="90" t="s">
        <v>235</v>
      </c>
      <c r="F39" s="91"/>
      <c r="G39" s="91"/>
      <c r="H39" s="91"/>
      <c r="I39" s="92"/>
      <c r="J39" s="50"/>
    </row>
    <row r="40" ht="44.25" customHeight="1">
      <c r="A40" s="44"/>
      <c r="B40" s="44" t="s">
        <v>237</v>
      </c>
      <c r="C40" s="93" t="s">
        <v>238</v>
      </c>
      <c r="D40" s="89"/>
      <c r="E40" s="90" t="s">
        <v>241</v>
      </c>
      <c r="F40" s="91"/>
      <c r="G40" s="91"/>
      <c r="H40" s="91"/>
      <c r="I40" s="92"/>
      <c r="J40" s="94" t="s">
        <v>215</v>
      </c>
    </row>
    <row r="41" ht="39.75" customHeight="1">
      <c r="A41" s="57"/>
      <c r="B41" s="44" t="s">
        <v>246</v>
      </c>
      <c r="C41" s="93" t="s">
        <v>238</v>
      </c>
      <c r="D41" s="89"/>
      <c r="E41" s="90" t="s">
        <v>247</v>
      </c>
      <c r="F41" s="91"/>
      <c r="G41" s="91"/>
      <c r="H41" s="91"/>
      <c r="I41" s="92"/>
      <c r="J41" s="94" t="s">
        <v>215</v>
      </c>
    </row>
    <row r="42" ht="39.0" customHeight="1">
      <c r="A42" s="44"/>
      <c r="B42" s="95"/>
      <c r="C42" s="95"/>
      <c r="D42" s="95"/>
      <c r="E42" s="95"/>
      <c r="F42" s="95"/>
      <c r="G42" s="95"/>
      <c r="H42" s="95"/>
      <c r="I42" s="95"/>
      <c r="J42" s="96"/>
    </row>
    <row r="43" ht="51.0" customHeight="1">
      <c r="A43" s="57"/>
      <c r="B43" s="44" t="s">
        <v>251</v>
      </c>
      <c r="C43" s="48" t="s">
        <v>252</v>
      </c>
      <c r="D43" s="44" t="s">
        <v>253</v>
      </c>
      <c r="E43" s="47" t="s">
        <v>254</v>
      </c>
      <c r="F43" s="47" t="s">
        <v>255</v>
      </c>
      <c r="G43" s="47" t="s">
        <v>256</v>
      </c>
      <c r="H43" s="48" t="s">
        <v>253</v>
      </c>
      <c r="I43" s="48" t="s">
        <v>187</v>
      </c>
      <c r="J43" s="50"/>
    </row>
    <row r="44" ht="58.5" customHeight="1">
      <c r="A44" s="44"/>
      <c r="B44" s="44" t="s">
        <v>258</v>
      </c>
      <c r="C44" s="48" t="s">
        <v>252</v>
      </c>
      <c r="D44" s="44" t="s">
        <v>259</v>
      </c>
      <c r="E44" s="47" t="s">
        <v>260</v>
      </c>
      <c r="F44" s="47" t="s">
        <v>261</v>
      </c>
      <c r="G44" s="47" t="s">
        <v>262</v>
      </c>
      <c r="H44" s="48">
        <v>48.0</v>
      </c>
      <c r="I44" s="48" t="s">
        <v>74</v>
      </c>
      <c r="J44" s="50"/>
    </row>
    <row r="45" ht="58.5" customHeight="1">
      <c r="A45" s="57"/>
      <c r="B45" s="44" t="s">
        <v>263</v>
      </c>
      <c r="C45" s="48" t="s">
        <v>252</v>
      </c>
      <c r="D45" s="44" t="s">
        <v>259</v>
      </c>
      <c r="E45" s="47" t="s">
        <v>260</v>
      </c>
      <c r="F45" s="47" t="s">
        <v>261</v>
      </c>
      <c r="G45" s="47" t="s">
        <v>262</v>
      </c>
      <c r="H45" s="48">
        <v>49.0</v>
      </c>
      <c r="I45" s="48" t="s">
        <v>76</v>
      </c>
      <c r="J45" s="50"/>
    </row>
    <row r="46" ht="87.75" customHeight="1">
      <c r="A46" s="44"/>
      <c r="B46" s="44" t="s">
        <v>264</v>
      </c>
      <c r="C46" s="48" t="s">
        <v>252</v>
      </c>
      <c r="D46" s="44" t="s">
        <v>265</v>
      </c>
      <c r="E46" s="47" t="s">
        <v>266</v>
      </c>
      <c r="F46" s="55" t="s">
        <v>267</v>
      </c>
      <c r="G46" s="47" t="s">
        <v>268</v>
      </c>
      <c r="H46" s="48" t="s">
        <v>265</v>
      </c>
      <c r="I46" s="48" t="s">
        <v>51</v>
      </c>
      <c r="J46" s="50"/>
    </row>
    <row r="47" ht="76.5" customHeight="1">
      <c r="A47" s="57"/>
      <c r="B47" s="44" t="s">
        <v>269</v>
      </c>
      <c r="C47" s="48" t="s">
        <v>252</v>
      </c>
      <c r="D47" s="44" t="s">
        <v>270</v>
      </c>
      <c r="E47" s="47" t="s">
        <v>271</v>
      </c>
      <c r="F47" s="55" t="s">
        <v>272</v>
      </c>
      <c r="G47" s="47" t="s">
        <v>273</v>
      </c>
      <c r="H47" s="48" t="s">
        <v>270</v>
      </c>
      <c r="I47" s="48" t="s">
        <v>274</v>
      </c>
      <c r="J47" s="50"/>
    </row>
    <row r="48" ht="72.0" customHeight="1">
      <c r="A48" s="44"/>
      <c r="B48" s="44" t="s">
        <v>275</v>
      </c>
      <c r="C48" s="48" t="s">
        <v>252</v>
      </c>
      <c r="D48" s="78" t="s">
        <v>53</v>
      </c>
      <c r="E48" s="80" t="s">
        <v>276</v>
      </c>
      <c r="F48" s="47" t="s">
        <v>261</v>
      </c>
      <c r="G48" s="55" t="s">
        <v>57</v>
      </c>
      <c r="H48" s="56" t="s">
        <v>277</v>
      </c>
      <c r="I48" s="48" t="s">
        <v>279</v>
      </c>
      <c r="J48" s="50"/>
    </row>
    <row r="49" ht="44.25" customHeight="1">
      <c r="A49" s="57"/>
      <c r="B49" s="44" t="s">
        <v>282</v>
      </c>
      <c r="C49" s="98" t="s">
        <v>283</v>
      </c>
      <c r="D49" s="99">
        <v>44869.0</v>
      </c>
      <c r="E49" s="55" t="s">
        <v>286</v>
      </c>
      <c r="F49" s="55"/>
      <c r="G49" s="55" t="s">
        <v>287</v>
      </c>
      <c r="H49" s="101" t="s">
        <v>288</v>
      </c>
      <c r="I49" s="92"/>
      <c r="J49" s="94" t="s">
        <v>215</v>
      </c>
    </row>
    <row r="50" ht="78.0" customHeight="1">
      <c r="A50" s="44"/>
      <c r="B50" s="44" t="s">
        <v>290</v>
      </c>
      <c r="C50" s="48" t="s">
        <v>291</v>
      </c>
      <c r="D50" s="44" t="s">
        <v>292</v>
      </c>
      <c r="E50" s="47" t="s">
        <v>293</v>
      </c>
      <c r="F50" s="47" t="s">
        <v>294</v>
      </c>
      <c r="G50" s="47" t="s">
        <v>295</v>
      </c>
      <c r="H50" s="48" t="s">
        <v>292</v>
      </c>
      <c r="I50" s="48" t="s">
        <v>297</v>
      </c>
      <c r="J50" s="50"/>
    </row>
    <row r="51" ht="85.5" customHeight="1">
      <c r="A51" s="57"/>
      <c r="B51" s="44" t="s">
        <v>299</v>
      </c>
      <c r="C51" s="61" t="s">
        <v>291</v>
      </c>
      <c r="D51" s="59" t="s">
        <v>300</v>
      </c>
      <c r="E51" s="64" t="s">
        <v>301</v>
      </c>
      <c r="F51" s="64" t="s">
        <v>302</v>
      </c>
      <c r="G51" s="64" t="s">
        <v>303</v>
      </c>
      <c r="H51" s="61">
        <v>56.0</v>
      </c>
      <c r="I51" s="61" t="s">
        <v>74</v>
      </c>
      <c r="J51" s="66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</row>
    <row r="52" ht="85.5" customHeight="1">
      <c r="A52" s="44"/>
      <c r="B52" s="44" t="s">
        <v>305</v>
      </c>
      <c r="C52" s="61" t="s">
        <v>291</v>
      </c>
      <c r="D52" s="59" t="s">
        <v>300</v>
      </c>
      <c r="E52" s="64" t="s">
        <v>301</v>
      </c>
      <c r="F52" s="64" t="s">
        <v>302</v>
      </c>
      <c r="G52" s="64" t="s">
        <v>303</v>
      </c>
      <c r="H52" s="61">
        <v>57.0</v>
      </c>
      <c r="I52" s="61" t="s">
        <v>117</v>
      </c>
      <c r="J52" s="66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</row>
    <row r="53" ht="90.0" customHeight="1">
      <c r="A53" s="57"/>
      <c r="B53" s="44" t="s">
        <v>307</v>
      </c>
      <c r="C53" s="48" t="s">
        <v>291</v>
      </c>
      <c r="D53" s="44" t="s">
        <v>309</v>
      </c>
      <c r="E53" s="47" t="s">
        <v>310</v>
      </c>
      <c r="F53" s="55" t="s">
        <v>311</v>
      </c>
      <c r="G53" s="47" t="s">
        <v>312</v>
      </c>
      <c r="H53" s="48" t="s">
        <v>309</v>
      </c>
      <c r="I53" s="48" t="s">
        <v>51</v>
      </c>
      <c r="J53" s="50"/>
    </row>
    <row r="54" ht="69.75" customHeight="1">
      <c r="A54" s="44"/>
      <c r="B54" s="44" t="s">
        <v>314</v>
      </c>
      <c r="C54" s="48" t="s">
        <v>291</v>
      </c>
      <c r="D54" s="44" t="s">
        <v>315</v>
      </c>
      <c r="E54" s="47" t="s">
        <v>316</v>
      </c>
      <c r="F54" s="55"/>
      <c r="G54" s="47" t="s">
        <v>317</v>
      </c>
      <c r="H54" s="48" t="s">
        <v>315</v>
      </c>
      <c r="I54" s="48" t="s">
        <v>318</v>
      </c>
      <c r="J54" s="50"/>
    </row>
    <row r="55" ht="66.0" customHeight="1">
      <c r="A55" s="57"/>
      <c r="B55" s="44" t="s">
        <v>319</v>
      </c>
      <c r="C55" s="48" t="s">
        <v>291</v>
      </c>
      <c r="D55" s="78" t="s">
        <v>53</v>
      </c>
      <c r="E55" s="80" t="s">
        <v>320</v>
      </c>
      <c r="F55" s="64" t="s">
        <v>302</v>
      </c>
      <c r="G55" s="55" t="s">
        <v>57</v>
      </c>
      <c r="H55" s="56" t="s">
        <v>321</v>
      </c>
      <c r="I55" s="48" t="s">
        <v>322</v>
      </c>
      <c r="J55" s="50"/>
    </row>
    <row r="56" ht="67.5" customHeight="1">
      <c r="A56" s="44"/>
      <c r="B56" s="44" t="s">
        <v>323</v>
      </c>
      <c r="C56" s="98" t="s">
        <v>283</v>
      </c>
      <c r="D56" s="44" t="s">
        <v>324</v>
      </c>
      <c r="E56" s="55" t="s">
        <v>325</v>
      </c>
      <c r="F56" s="55"/>
      <c r="G56" s="55" t="s">
        <v>287</v>
      </c>
      <c r="H56" s="101" t="s">
        <v>326</v>
      </c>
      <c r="I56" s="92"/>
      <c r="J56" s="94" t="s">
        <v>215</v>
      </c>
    </row>
    <row r="57" ht="67.5" customHeight="1">
      <c r="A57" s="57"/>
      <c r="B57" s="44" t="s">
        <v>327</v>
      </c>
      <c r="C57" s="48" t="s">
        <v>328</v>
      </c>
      <c r="D57" s="44" t="s">
        <v>329</v>
      </c>
      <c r="E57" s="47" t="s">
        <v>330</v>
      </c>
      <c r="F57" s="47" t="s">
        <v>331</v>
      </c>
      <c r="G57" s="47" t="s">
        <v>332</v>
      </c>
      <c r="H57" s="48" t="s">
        <v>329</v>
      </c>
      <c r="I57" s="48" t="s">
        <v>74</v>
      </c>
      <c r="J57" s="50"/>
    </row>
    <row r="58" ht="60.0" customHeight="1">
      <c r="A58" s="44"/>
      <c r="B58" s="44" t="s">
        <v>335</v>
      </c>
      <c r="C58" s="48" t="s">
        <v>328</v>
      </c>
      <c r="D58" s="44" t="s">
        <v>336</v>
      </c>
      <c r="E58" s="47" t="s">
        <v>337</v>
      </c>
      <c r="F58" s="47" t="s">
        <v>338</v>
      </c>
      <c r="G58" s="47" t="s">
        <v>339</v>
      </c>
      <c r="H58" s="48">
        <v>66.0</v>
      </c>
      <c r="I58" s="48" t="s">
        <v>76</v>
      </c>
      <c r="J58" s="50"/>
    </row>
    <row r="59" ht="60.0" customHeight="1">
      <c r="A59" s="57"/>
      <c r="B59" s="44" t="s">
        <v>340</v>
      </c>
      <c r="C59" s="48" t="s">
        <v>328</v>
      </c>
      <c r="D59" s="44" t="s">
        <v>336</v>
      </c>
      <c r="E59" s="47" t="s">
        <v>337</v>
      </c>
      <c r="F59" s="47" t="s">
        <v>338</v>
      </c>
      <c r="G59" s="47" t="s">
        <v>339</v>
      </c>
      <c r="H59" s="48">
        <v>67.0</v>
      </c>
      <c r="I59" s="48" t="s">
        <v>117</v>
      </c>
      <c r="J59" s="50"/>
    </row>
    <row r="60" ht="99.75" customHeight="1">
      <c r="A60" s="44"/>
      <c r="B60" s="44" t="s">
        <v>344</v>
      </c>
      <c r="C60" s="48" t="s">
        <v>328</v>
      </c>
      <c r="D60" s="44" t="s">
        <v>345</v>
      </c>
      <c r="E60" s="47" t="s">
        <v>346</v>
      </c>
      <c r="F60" s="55" t="s">
        <v>347</v>
      </c>
      <c r="G60" s="47" t="s">
        <v>348</v>
      </c>
      <c r="H60" s="48" t="s">
        <v>345</v>
      </c>
      <c r="I60" s="48" t="s">
        <v>51</v>
      </c>
      <c r="J60" s="50"/>
    </row>
    <row r="61" ht="61.5" customHeight="1">
      <c r="A61" s="57"/>
      <c r="B61" s="113" t="s">
        <v>350</v>
      </c>
      <c r="C61" s="114" t="s">
        <v>328</v>
      </c>
      <c r="D61" s="113" t="s">
        <v>355</v>
      </c>
      <c r="E61" s="115" t="s">
        <v>356</v>
      </c>
      <c r="F61" s="115" t="s">
        <v>357</v>
      </c>
      <c r="G61" s="115" t="s">
        <v>358</v>
      </c>
      <c r="H61" s="114" t="s">
        <v>355</v>
      </c>
      <c r="I61" s="114" t="s">
        <v>360</v>
      </c>
      <c r="J61" s="116"/>
    </row>
    <row r="62" ht="60.0" customHeight="1">
      <c r="A62" s="44"/>
      <c r="B62" s="117" t="s">
        <v>361</v>
      </c>
      <c r="C62" s="118" t="s">
        <v>328</v>
      </c>
      <c r="D62" s="119" t="s">
        <v>53</v>
      </c>
      <c r="E62" s="121" t="s">
        <v>362</v>
      </c>
      <c r="F62" s="122" t="s">
        <v>338</v>
      </c>
      <c r="G62" s="123" t="s">
        <v>57</v>
      </c>
      <c r="H62" s="124" t="s">
        <v>366</v>
      </c>
      <c r="I62" s="118" t="s">
        <v>368</v>
      </c>
      <c r="J62" s="125"/>
    </row>
    <row r="63" ht="50.25" customHeight="1">
      <c r="A63" s="57"/>
      <c r="B63" s="126" t="s">
        <v>370</v>
      </c>
      <c r="C63" s="127" t="s">
        <v>283</v>
      </c>
      <c r="D63" s="126" t="s">
        <v>280</v>
      </c>
      <c r="E63" s="123" t="s">
        <v>372</v>
      </c>
      <c r="F63" s="123"/>
      <c r="G63" s="128" t="s">
        <v>287</v>
      </c>
      <c r="H63" s="129" t="s">
        <v>374</v>
      </c>
      <c r="I63" s="130"/>
      <c r="J63" s="131" t="s">
        <v>215</v>
      </c>
    </row>
    <row r="64" ht="72.75" customHeight="1">
      <c r="A64" s="44"/>
      <c r="B64" s="117" t="s">
        <v>377</v>
      </c>
      <c r="C64" s="118" t="s">
        <v>378</v>
      </c>
      <c r="D64" s="126" t="s">
        <v>379</v>
      </c>
      <c r="E64" s="123" t="s">
        <v>381</v>
      </c>
      <c r="F64" s="122" t="s">
        <v>382</v>
      </c>
      <c r="G64" s="132" t="s">
        <v>295</v>
      </c>
      <c r="H64" s="118" t="s">
        <v>379</v>
      </c>
      <c r="I64" s="118" t="s">
        <v>115</v>
      </c>
      <c r="J64" s="125"/>
    </row>
    <row r="65" ht="81.75" customHeight="1">
      <c r="A65" s="57"/>
      <c r="B65" s="126" t="s">
        <v>383</v>
      </c>
      <c r="C65" s="118" t="s">
        <v>378</v>
      </c>
      <c r="D65" s="126" t="s">
        <v>384</v>
      </c>
      <c r="E65" s="123" t="s">
        <v>381</v>
      </c>
      <c r="F65" s="122" t="s">
        <v>385</v>
      </c>
      <c r="G65" s="122" t="s">
        <v>386</v>
      </c>
      <c r="H65" s="118">
        <v>74.0</v>
      </c>
      <c r="I65" s="118" t="s">
        <v>387</v>
      </c>
      <c r="J65" s="125"/>
    </row>
    <row r="66" ht="79.5" customHeight="1">
      <c r="A66" s="44"/>
      <c r="B66" s="126" t="s">
        <v>388</v>
      </c>
      <c r="C66" s="118" t="s">
        <v>378</v>
      </c>
      <c r="D66" s="126" t="s">
        <v>384</v>
      </c>
      <c r="E66" s="122" t="s">
        <v>390</v>
      </c>
      <c r="F66" s="122" t="s">
        <v>385</v>
      </c>
      <c r="G66" s="122" t="s">
        <v>386</v>
      </c>
      <c r="H66" s="118">
        <v>75.0</v>
      </c>
      <c r="I66" s="118" t="s">
        <v>76</v>
      </c>
      <c r="J66" s="125"/>
    </row>
    <row r="67" ht="79.5" customHeight="1">
      <c r="A67" s="57"/>
      <c r="B67" s="117" t="s">
        <v>391</v>
      </c>
      <c r="C67" s="118" t="s">
        <v>378</v>
      </c>
      <c r="D67" s="126" t="s">
        <v>393</v>
      </c>
      <c r="E67" s="122" t="s">
        <v>395</v>
      </c>
      <c r="F67" s="122" t="s">
        <v>396</v>
      </c>
      <c r="G67" s="122" t="s">
        <v>398</v>
      </c>
      <c r="H67" s="118" t="s">
        <v>393</v>
      </c>
      <c r="I67" s="118" t="s">
        <v>51</v>
      </c>
      <c r="J67" s="125"/>
    </row>
    <row r="68" ht="55.5" customHeight="1">
      <c r="A68" s="44"/>
      <c r="B68" s="117" t="s">
        <v>399</v>
      </c>
      <c r="C68" s="118" t="s">
        <v>378</v>
      </c>
      <c r="D68" s="126" t="s">
        <v>400</v>
      </c>
      <c r="E68" s="123" t="s">
        <v>401</v>
      </c>
      <c r="F68" s="123"/>
      <c r="G68" s="122" t="s">
        <v>402</v>
      </c>
      <c r="H68" s="118" t="s">
        <v>400</v>
      </c>
      <c r="I68" s="118" t="s">
        <v>403</v>
      </c>
      <c r="J68" s="125"/>
    </row>
    <row r="69" ht="54.0" customHeight="1">
      <c r="A69" s="57"/>
      <c r="B69" s="117" t="s">
        <v>405</v>
      </c>
      <c r="C69" s="118" t="s">
        <v>378</v>
      </c>
      <c r="D69" s="119" t="s">
        <v>53</v>
      </c>
      <c r="E69" s="121" t="s">
        <v>407</v>
      </c>
      <c r="F69" s="122" t="s">
        <v>385</v>
      </c>
      <c r="G69" s="123" t="s">
        <v>57</v>
      </c>
      <c r="H69" s="124" t="s">
        <v>408</v>
      </c>
      <c r="I69" s="118" t="s">
        <v>409</v>
      </c>
      <c r="J69" s="125"/>
    </row>
    <row r="70" ht="52.5" customHeight="1">
      <c r="A70" s="44"/>
      <c r="B70" s="126" t="s">
        <v>410</v>
      </c>
      <c r="C70" s="127" t="s">
        <v>283</v>
      </c>
      <c r="D70" s="133" t="s">
        <v>411</v>
      </c>
      <c r="E70" s="123" t="s">
        <v>413</v>
      </c>
      <c r="F70" s="123"/>
      <c r="G70" s="128" t="s">
        <v>287</v>
      </c>
      <c r="H70" s="129" t="s">
        <v>414</v>
      </c>
      <c r="I70" s="130"/>
      <c r="J70" s="131" t="s">
        <v>215</v>
      </c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 ht="45.0" customHeight="1">
      <c r="A71" s="57"/>
      <c r="B71" s="117" t="s">
        <v>417</v>
      </c>
      <c r="C71" s="134" t="s">
        <v>418</v>
      </c>
      <c r="D71" s="133" t="s">
        <v>419</v>
      </c>
      <c r="E71" s="122" t="s">
        <v>420</v>
      </c>
      <c r="F71" s="122" t="s">
        <v>261</v>
      </c>
      <c r="G71" s="123" t="s">
        <v>423</v>
      </c>
      <c r="H71" s="118" t="s">
        <v>424</v>
      </c>
      <c r="I71" s="118" t="s">
        <v>279</v>
      </c>
      <c r="J71" s="135" t="s">
        <v>215</v>
      </c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</row>
    <row r="72" ht="74.25" customHeight="1">
      <c r="A72" s="44"/>
      <c r="B72" s="126" t="s">
        <v>426</v>
      </c>
      <c r="C72" s="134" t="s">
        <v>427</v>
      </c>
      <c r="D72" s="133" t="s">
        <v>428</v>
      </c>
      <c r="E72" s="122" t="s">
        <v>429</v>
      </c>
      <c r="F72" s="136" t="s">
        <v>302</v>
      </c>
      <c r="G72" s="123" t="s">
        <v>423</v>
      </c>
      <c r="H72" s="118" t="s">
        <v>430</v>
      </c>
      <c r="I72" s="118" t="s">
        <v>322</v>
      </c>
      <c r="J72" s="135" t="s">
        <v>215</v>
      </c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</row>
    <row r="73" ht="60.0" customHeight="1">
      <c r="A73" s="57"/>
      <c r="B73" s="126" t="s">
        <v>432</v>
      </c>
      <c r="C73" s="134" t="s">
        <v>433</v>
      </c>
      <c r="D73" s="133" t="s">
        <v>434</v>
      </c>
      <c r="E73" s="122" t="s">
        <v>435</v>
      </c>
      <c r="F73" s="122" t="s">
        <v>338</v>
      </c>
      <c r="G73" s="123" t="s">
        <v>423</v>
      </c>
      <c r="H73" s="118" t="s">
        <v>436</v>
      </c>
      <c r="I73" s="118" t="s">
        <v>368</v>
      </c>
      <c r="J73" s="135" t="s">
        <v>215</v>
      </c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</row>
    <row r="74" ht="36.75" customHeight="1">
      <c r="A74" s="44"/>
      <c r="B74" s="117" t="s">
        <v>438</v>
      </c>
      <c r="C74" s="137" t="s">
        <v>232</v>
      </c>
      <c r="D74" s="138"/>
      <c r="E74" s="139" t="s">
        <v>443</v>
      </c>
      <c r="F74" s="140"/>
      <c r="G74" s="140"/>
      <c r="H74" s="140"/>
      <c r="I74" s="130"/>
      <c r="J74" s="141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</row>
    <row r="75" ht="36.0" customHeight="1">
      <c r="A75" s="57"/>
      <c r="B75" s="117" t="s">
        <v>446</v>
      </c>
      <c r="C75" s="137" t="s">
        <v>232</v>
      </c>
      <c r="D75" s="138"/>
      <c r="E75" s="139" t="s">
        <v>448</v>
      </c>
      <c r="F75" s="140"/>
      <c r="G75" s="140"/>
      <c r="H75" s="140"/>
      <c r="I75" s="130"/>
      <c r="J75" s="142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</row>
    <row r="76" ht="39.75" customHeight="1">
      <c r="A76" s="44"/>
      <c r="B76" s="117" t="s">
        <v>451</v>
      </c>
      <c r="C76" s="118" t="s">
        <v>238</v>
      </c>
      <c r="D76" s="143"/>
      <c r="E76" s="139" t="s">
        <v>452</v>
      </c>
      <c r="F76" s="140"/>
      <c r="G76" s="140"/>
      <c r="H76" s="140"/>
      <c r="I76" s="130"/>
      <c r="J76" s="144" t="s">
        <v>215</v>
      </c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</row>
    <row r="77" ht="42.75" customHeight="1">
      <c r="A77" s="57"/>
      <c r="B77" s="126" t="s">
        <v>454</v>
      </c>
      <c r="C77" s="137" t="s">
        <v>238</v>
      </c>
      <c r="D77" s="138"/>
      <c r="E77" s="139" t="s">
        <v>455</v>
      </c>
      <c r="F77" s="140"/>
      <c r="G77" s="140"/>
      <c r="H77" s="140"/>
      <c r="I77" s="130"/>
      <c r="J77" s="144" t="s">
        <v>215</v>
      </c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</row>
    <row r="78" ht="42.0" customHeight="1">
      <c r="A78" s="44"/>
      <c r="B78" s="146" t="s">
        <v>456</v>
      </c>
      <c r="C78" s="147" t="s">
        <v>457</v>
      </c>
      <c r="D78" s="148"/>
      <c r="E78" s="149" t="s">
        <v>458</v>
      </c>
      <c r="F78" s="150"/>
      <c r="G78" s="150"/>
      <c r="H78" s="150"/>
      <c r="I78" s="151"/>
      <c r="J78" s="152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</row>
    <row r="79" ht="17.25" customHeight="1">
      <c r="J79" s="145"/>
    </row>
    <row r="80" ht="21.75" customHeight="1">
      <c r="J80" s="145"/>
    </row>
    <row r="81" ht="14.25" customHeight="1">
      <c r="J81" s="145"/>
    </row>
    <row r="82" ht="14.25" customHeight="1">
      <c r="J82" s="145"/>
    </row>
    <row r="83" ht="14.25" customHeight="1">
      <c r="J83" s="145"/>
    </row>
    <row r="84" ht="14.25" customHeight="1">
      <c r="J84" s="145"/>
    </row>
    <row r="85" ht="14.25" customHeight="1">
      <c r="J85" s="145"/>
    </row>
    <row r="86" ht="14.25" customHeight="1">
      <c r="J86" s="145"/>
    </row>
    <row r="87" ht="14.25" customHeight="1">
      <c r="J87" s="145"/>
    </row>
    <row r="88" ht="14.25" customHeight="1">
      <c r="J88" s="145"/>
    </row>
    <row r="89" ht="14.25" customHeight="1">
      <c r="J89" s="145"/>
    </row>
    <row r="90" ht="14.25" customHeight="1">
      <c r="J90" s="145"/>
    </row>
    <row r="91" ht="14.25" customHeight="1">
      <c r="J91" s="145"/>
    </row>
    <row r="92" ht="14.25" customHeight="1">
      <c r="J92" s="145"/>
    </row>
    <row r="93" ht="14.25" customHeight="1">
      <c r="J93" s="145"/>
    </row>
    <row r="94" ht="14.25" customHeight="1">
      <c r="J94" s="145"/>
    </row>
    <row r="95" ht="14.25" customHeight="1">
      <c r="J95" s="145"/>
    </row>
    <row r="96" ht="14.25" customHeight="1">
      <c r="J96" s="145"/>
    </row>
    <row r="97" ht="14.25" customHeight="1">
      <c r="J97" s="145"/>
    </row>
    <row r="98" ht="14.25" customHeight="1">
      <c r="J98" s="145"/>
    </row>
    <row r="99" ht="14.25" customHeight="1">
      <c r="J99" s="145"/>
    </row>
    <row r="100" ht="14.25" customHeight="1">
      <c r="J100" s="145"/>
    </row>
    <row r="101" ht="14.25" customHeight="1">
      <c r="A101" s="155"/>
      <c r="B101" s="155"/>
      <c r="C101" s="155"/>
      <c r="D101" s="155"/>
      <c r="I101" s="155"/>
      <c r="J101" s="145"/>
    </row>
    <row r="102" ht="14.25" customHeight="1">
      <c r="A102" s="155"/>
      <c r="B102" s="155"/>
      <c r="C102" s="155"/>
      <c r="D102" s="155"/>
      <c r="I102" s="155"/>
      <c r="J102" s="145"/>
    </row>
    <row r="103" ht="14.25" customHeight="1">
      <c r="A103" s="155"/>
      <c r="B103" s="155"/>
      <c r="C103" s="155"/>
      <c r="D103" s="155"/>
      <c r="I103" s="155"/>
      <c r="J103" s="145"/>
    </row>
    <row r="104" ht="14.25" customHeight="1">
      <c r="A104" s="155"/>
      <c r="B104" s="155"/>
      <c r="C104" s="155"/>
      <c r="D104" s="155"/>
      <c r="I104" s="155"/>
      <c r="J104" s="145"/>
    </row>
    <row r="105" ht="14.25" customHeight="1">
      <c r="A105" s="155"/>
      <c r="B105" s="155"/>
      <c r="C105" s="155"/>
      <c r="D105" s="155"/>
      <c r="I105" s="155"/>
      <c r="J105" s="145"/>
    </row>
    <row r="106" ht="14.25" customHeight="1">
      <c r="A106" s="155"/>
      <c r="B106" s="155"/>
      <c r="C106" s="155"/>
      <c r="D106" s="155"/>
      <c r="I106" s="155"/>
      <c r="J106" s="145"/>
    </row>
    <row r="107" ht="14.25" customHeight="1">
      <c r="A107" s="155"/>
      <c r="B107" s="155"/>
      <c r="C107" s="155"/>
      <c r="D107" s="155"/>
      <c r="I107" s="155"/>
      <c r="J107" s="145"/>
    </row>
    <row r="108" ht="14.25" customHeight="1">
      <c r="A108" s="155"/>
      <c r="B108" s="155"/>
      <c r="C108" s="155"/>
      <c r="D108" s="155"/>
      <c r="I108" s="155"/>
      <c r="J108" s="145"/>
    </row>
    <row r="109" ht="14.25" customHeight="1">
      <c r="A109" s="155"/>
      <c r="B109" s="155"/>
      <c r="C109" s="155"/>
      <c r="D109" s="155"/>
      <c r="I109" s="155"/>
      <c r="J109" s="145"/>
    </row>
    <row r="110" ht="14.25" customHeight="1">
      <c r="A110" s="155"/>
      <c r="B110" s="155"/>
      <c r="C110" s="155"/>
      <c r="D110" s="155"/>
      <c r="I110" s="155"/>
      <c r="J110" s="145"/>
    </row>
    <row r="111" ht="14.25" customHeight="1">
      <c r="A111" s="155"/>
      <c r="B111" s="155"/>
      <c r="C111" s="155"/>
      <c r="D111" s="155"/>
      <c r="I111" s="155"/>
      <c r="J111" s="145"/>
    </row>
    <row r="112" ht="14.25" customHeight="1">
      <c r="A112" s="155"/>
      <c r="B112" s="155"/>
      <c r="C112" s="155"/>
      <c r="D112" s="155"/>
      <c r="I112" s="155"/>
      <c r="J112" s="145"/>
    </row>
    <row r="113" ht="14.25" customHeight="1">
      <c r="A113" s="155"/>
      <c r="B113" s="155"/>
      <c r="C113" s="155"/>
      <c r="D113" s="155"/>
      <c r="I113" s="155"/>
      <c r="J113" s="145"/>
    </row>
    <row r="114" ht="14.25" customHeight="1">
      <c r="A114" s="155"/>
      <c r="B114" s="155"/>
      <c r="C114" s="155"/>
      <c r="D114" s="155"/>
      <c r="I114" s="155"/>
      <c r="J114" s="145"/>
    </row>
    <row r="115" ht="14.25" customHeight="1">
      <c r="A115" s="155"/>
      <c r="B115" s="155"/>
      <c r="C115" s="155"/>
      <c r="D115" s="155"/>
      <c r="I115" s="155"/>
      <c r="J115" s="145"/>
    </row>
    <row r="116" ht="14.25" customHeight="1">
      <c r="A116" s="155"/>
      <c r="B116" s="155"/>
      <c r="C116" s="155"/>
      <c r="D116" s="155"/>
      <c r="I116" s="155"/>
      <c r="J116" s="145"/>
    </row>
    <row r="117" ht="14.25" customHeight="1">
      <c r="A117" s="155"/>
      <c r="B117" s="155"/>
      <c r="C117" s="155"/>
      <c r="D117" s="155"/>
      <c r="I117" s="155"/>
      <c r="J117" s="145"/>
    </row>
    <row r="118" ht="14.25" customHeight="1">
      <c r="A118" s="155"/>
      <c r="B118" s="155"/>
      <c r="C118" s="155"/>
      <c r="D118" s="155"/>
      <c r="I118" s="155"/>
      <c r="J118" s="145"/>
    </row>
    <row r="119" ht="14.25" customHeight="1">
      <c r="A119" s="155"/>
      <c r="B119" s="155"/>
      <c r="C119" s="155"/>
      <c r="D119" s="155"/>
      <c r="I119" s="155"/>
      <c r="J119" s="145"/>
    </row>
    <row r="120" ht="14.25" customHeight="1">
      <c r="A120" s="155"/>
      <c r="B120" s="155"/>
      <c r="C120" s="155"/>
      <c r="D120" s="155"/>
      <c r="I120" s="155"/>
      <c r="J120" s="145"/>
    </row>
    <row r="121" ht="14.25" customHeight="1">
      <c r="A121" s="155"/>
      <c r="B121" s="155"/>
      <c r="C121" s="155"/>
      <c r="D121" s="155"/>
      <c r="I121" s="155"/>
      <c r="J121" s="145"/>
    </row>
    <row r="122" ht="14.25" customHeight="1">
      <c r="A122" s="155"/>
      <c r="B122" s="155"/>
      <c r="C122" s="155"/>
      <c r="D122" s="155"/>
      <c r="I122" s="155"/>
      <c r="J122" s="145"/>
    </row>
    <row r="123" ht="14.25" customHeight="1">
      <c r="A123" s="155"/>
      <c r="B123" s="155"/>
      <c r="C123" s="155"/>
      <c r="D123" s="155"/>
      <c r="I123" s="155"/>
      <c r="J123" s="145"/>
    </row>
    <row r="124" ht="14.25" customHeight="1">
      <c r="A124" s="155"/>
      <c r="B124" s="155"/>
      <c r="C124" s="155"/>
      <c r="D124" s="155"/>
      <c r="I124" s="155"/>
      <c r="J124" s="145"/>
    </row>
    <row r="125" ht="14.25" customHeight="1">
      <c r="A125" s="155"/>
      <c r="B125" s="155"/>
      <c r="C125" s="155"/>
      <c r="D125" s="155"/>
      <c r="I125" s="155"/>
      <c r="J125" s="145"/>
    </row>
    <row r="126" ht="14.25" customHeight="1">
      <c r="A126" s="155"/>
      <c r="B126" s="155"/>
      <c r="C126" s="155"/>
      <c r="D126" s="155"/>
      <c r="I126" s="155"/>
      <c r="J126" s="145"/>
    </row>
    <row r="127" ht="14.25" customHeight="1">
      <c r="A127" s="155"/>
      <c r="B127" s="155"/>
      <c r="C127" s="155"/>
      <c r="D127" s="155"/>
      <c r="I127" s="155"/>
      <c r="J127" s="145"/>
    </row>
    <row r="128" ht="14.25" customHeight="1">
      <c r="A128" s="155"/>
      <c r="B128" s="155"/>
      <c r="C128" s="155"/>
      <c r="D128" s="155"/>
      <c r="I128" s="155"/>
      <c r="J128" s="145"/>
    </row>
    <row r="129" ht="14.25" customHeight="1">
      <c r="A129" s="155"/>
      <c r="B129" s="155"/>
      <c r="C129" s="155"/>
      <c r="D129" s="155"/>
      <c r="I129" s="155"/>
      <c r="J129" s="145"/>
    </row>
    <row r="130" ht="14.25" customHeight="1">
      <c r="A130" s="155"/>
      <c r="B130" s="155"/>
      <c r="C130" s="155"/>
      <c r="D130" s="155"/>
      <c r="I130" s="155"/>
      <c r="J130" s="145"/>
    </row>
    <row r="131" ht="14.25" customHeight="1">
      <c r="A131" s="155"/>
      <c r="B131" s="155"/>
      <c r="C131" s="155"/>
      <c r="D131" s="155"/>
      <c r="I131" s="155"/>
      <c r="J131" s="145"/>
    </row>
    <row r="132" ht="14.25" customHeight="1">
      <c r="A132" s="155"/>
      <c r="B132" s="155"/>
      <c r="C132" s="155"/>
      <c r="D132" s="155"/>
      <c r="I132" s="155"/>
      <c r="J132" s="145"/>
    </row>
    <row r="133" ht="14.25" customHeight="1">
      <c r="A133" s="155"/>
      <c r="B133" s="155"/>
      <c r="C133" s="155"/>
      <c r="D133" s="155"/>
      <c r="I133" s="155"/>
      <c r="J133" s="145"/>
    </row>
    <row r="134" ht="14.25" customHeight="1">
      <c r="A134" s="155"/>
      <c r="B134" s="155"/>
      <c r="C134" s="155"/>
      <c r="D134" s="155"/>
      <c r="I134" s="155"/>
      <c r="J134" s="145"/>
    </row>
    <row r="135" ht="14.25" customHeight="1">
      <c r="A135" s="155"/>
      <c r="B135" s="155"/>
      <c r="C135" s="155"/>
      <c r="D135" s="155"/>
      <c r="I135" s="155"/>
      <c r="J135" s="145"/>
    </row>
    <row r="136" ht="14.25" customHeight="1">
      <c r="A136" s="155"/>
      <c r="B136" s="155"/>
      <c r="C136" s="155"/>
      <c r="D136" s="155"/>
      <c r="I136" s="155"/>
      <c r="J136" s="145"/>
    </row>
    <row r="137" ht="14.25" customHeight="1">
      <c r="A137" s="155"/>
      <c r="B137" s="155"/>
      <c r="C137" s="155"/>
      <c r="D137" s="155"/>
      <c r="I137" s="155"/>
      <c r="J137" s="145"/>
    </row>
    <row r="138" ht="14.25" customHeight="1">
      <c r="A138" s="155"/>
      <c r="B138" s="155"/>
      <c r="C138" s="155"/>
      <c r="D138" s="155"/>
      <c r="I138" s="155"/>
      <c r="J138" s="145"/>
    </row>
    <row r="139" ht="14.25" customHeight="1">
      <c r="A139" s="155"/>
      <c r="B139" s="155"/>
      <c r="C139" s="155"/>
      <c r="D139" s="155"/>
      <c r="I139" s="155"/>
      <c r="J139" s="145"/>
    </row>
    <row r="140" ht="14.25" customHeight="1">
      <c r="A140" s="155"/>
      <c r="B140" s="155"/>
      <c r="C140" s="155"/>
      <c r="D140" s="155"/>
      <c r="I140" s="155"/>
      <c r="J140" s="145"/>
    </row>
    <row r="141" ht="14.25" customHeight="1">
      <c r="A141" s="155"/>
      <c r="B141" s="155"/>
      <c r="C141" s="155"/>
      <c r="D141" s="155"/>
      <c r="I141" s="155"/>
      <c r="J141" s="145"/>
    </row>
    <row r="142" ht="14.25" customHeight="1">
      <c r="A142" s="155"/>
      <c r="B142" s="155"/>
      <c r="C142" s="155"/>
      <c r="D142" s="155"/>
      <c r="I142" s="155"/>
      <c r="J142" s="145"/>
    </row>
    <row r="143" ht="14.25" customHeight="1">
      <c r="A143" s="155"/>
      <c r="B143" s="155"/>
      <c r="C143" s="155"/>
      <c r="D143" s="155"/>
      <c r="I143" s="155"/>
      <c r="J143" s="145"/>
    </row>
    <row r="144" ht="14.25" customHeight="1">
      <c r="A144" s="155"/>
      <c r="B144" s="155"/>
      <c r="C144" s="155"/>
      <c r="D144" s="155"/>
      <c r="I144" s="155"/>
      <c r="J144" s="145"/>
    </row>
    <row r="145" ht="14.25" customHeight="1">
      <c r="A145" s="155"/>
      <c r="B145" s="155"/>
      <c r="C145" s="155"/>
      <c r="D145" s="155"/>
      <c r="I145" s="155"/>
      <c r="J145" s="145"/>
    </row>
    <row r="146" ht="14.25" customHeight="1">
      <c r="A146" s="155"/>
      <c r="B146" s="155"/>
      <c r="C146" s="155"/>
      <c r="D146" s="155"/>
      <c r="I146" s="155"/>
      <c r="J146" s="145"/>
    </row>
    <row r="147" ht="14.25" customHeight="1">
      <c r="A147" s="155"/>
      <c r="B147" s="155"/>
      <c r="C147" s="155"/>
      <c r="D147" s="155"/>
      <c r="I147" s="155"/>
      <c r="J147" s="145"/>
    </row>
    <row r="148" ht="14.25" customHeight="1">
      <c r="A148" s="155"/>
      <c r="B148" s="155"/>
      <c r="C148" s="155"/>
      <c r="D148" s="155"/>
      <c r="I148" s="155"/>
      <c r="J148" s="145"/>
    </row>
    <row r="149" ht="14.25" customHeight="1">
      <c r="A149" s="155"/>
      <c r="B149" s="155"/>
      <c r="C149" s="155"/>
      <c r="D149" s="155"/>
      <c r="I149" s="155"/>
      <c r="J149" s="145"/>
    </row>
    <row r="150" ht="14.25" customHeight="1">
      <c r="A150" s="155"/>
      <c r="B150" s="155"/>
      <c r="C150" s="155"/>
      <c r="D150" s="155"/>
      <c r="I150" s="155"/>
      <c r="J150" s="145"/>
    </row>
    <row r="151" ht="14.25" customHeight="1">
      <c r="A151" s="155"/>
      <c r="B151" s="155"/>
      <c r="C151" s="155"/>
      <c r="D151" s="155"/>
      <c r="I151" s="155"/>
      <c r="J151" s="145"/>
    </row>
    <row r="152" ht="14.25" customHeight="1">
      <c r="A152" s="155"/>
      <c r="B152" s="155"/>
      <c r="C152" s="155"/>
      <c r="D152" s="155"/>
      <c r="I152" s="155"/>
      <c r="J152" s="145"/>
    </row>
    <row r="153" ht="14.25" customHeight="1">
      <c r="A153" s="155"/>
      <c r="B153" s="155"/>
      <c r="C153" s="155"/>
      <c r="D153" s="155"/>
      <c r="I153" s="155"/>
      <c r="J153" s="145"/>
    </row>
    <row r="154" ht="14.25" customHeight="1">
      <c r="A154" s="155"/>
      <c r="B154" s="155"/>
      <c r="C154" s="155"/>
      <c r="D154" s="155"/>
      <c r="I154" s="155"/>
      <c r="J154" s="145"/>
    </row>
    <row r="155" ht="14.25" customHeight="1">
      <c r="A155" s="155"/>
      <c r="B155" s="155"/>
      <c r="C155" s="155"/>
      <c r="D155" s="155"/>
      <c r="I155" s="155"/>
      <c r="J155" s="145"/>
    </row>
    <row r="156" ht="14.25" customHeight="1">
      <c r="A156" s="155"/>
      <c r="B156" s="155"/>
      <c r="C156" s="155"/>
      <c r="D156" s="155"/>
      <c r="I156" s="155"/>
      <c r="J156" s="145"/>
    </row>
    <row r="157" ht="14.25" customHeight="1">
      <c r="A157" s="155"/>
      <c r="B157" s="155"/>
      <c r="C157" s="155"/>
      <c r="D157" s="155"/>
      <c r="I157" s="155"/>
      <c r="J157" s="145"/>
    </row>
    <row r="158" ht="14.25" customHeight="1">
      <c r="A158" s="155"/>
      <c r="B158" s="155"/>
      <c r="C158" s="155"/>
      <c r="D158" s="155"/>
      <c r="I158" s="155"/>
      <c r="J158" s="145"/>
    </row>
    <row r="159" ht="14.25" customHeight="1">
      <c r="A159" s="155"/>
      <c r="B159" s="155"/>
      <c r="C159" s="155"/>
      <c r="D159" s="155"/>
      <c r="I159" s="155"/>
      <c r="J159" s="145"/>
    </row>
    <row r="160" ht="14.25" customHeight="1">
      <c r="A160" s="155"/>
      <c r="B160" s="155"/>
      <c r="C160" s="155"/>
      <c r="D160" s="155"/>
      <c r="I160" s="155"/>
      <c r="J160" s="145"/>
    </row>
    <row r="161" ht="14.25" customHeight="1">
      <c r="A161" s="155"/>
      <c r="B161" s="155"/>
      <c r="C161" s="155"/>
      <c r="D161" s="155"/>
      <c r="I161" s="155"/>
      <c r="J161" s="145"/>
    </row>
    <row r="162" ht="14.25" customHeight="1">
      <c r="A162" s="155"/>
      <c r="B162" s="155"/>
      <c r="C162" s="155"/>
      <c r="D162" s="155"/>
      <c r="I162" s="155"/>
      <c r="J162" s="145"/>
    </row>
    <row r="163" ht="14.25" customHeight="1">
      <c r="A163" s="155"/>
      <c r="B163" s="155"/>
      <c r="C163" s="155"/>
      <c r="D163" s="155"/>
      <c r="I163" s="155"/>
      <c r="J163" s="145"/>
    </row>
    <row r="164" ht="14.25" customHeight="1">
      <c r="A164" s="155"/>
      <c r="B164" s="155"/>
      <c r="C164" s="155"/>
      <c r="D164" s="155"/>
      <c r="I164" s="155"/>
      <c r="J164" s="145"/>
    </row>
    <row r="165" ht="14.25" customHeight="1">
      <c r="A165" s="155"/>
      <c r="B165" s="155"/>
      <c r="C165" s="155"/>
      <c r="D165" s="155"/>
      <c r="I165" s="155"/>
      <c r="J165" s="145"/>
    </row>
    <row r="166" ht="14.25" customHeight="1">
      <c r="A166" s="155"/>
      <c r="B166" s="155"/>
      <c r="C166" s="155"/>
      <c r="D166" s="155"/>
      <c r="I166" s="155"/>
      <c r="J166" s="145"/>
    </row>
    <row r="167" ht="14.25" customHeight="1">
      <c r="A167" s="155"/>
      <c r="B167" s="155"/>
      <c r="C167" s="155"/>
      <c r="D167" s="155"/>
      <c r="I167" s="155"/>
      <c r="J167" s="145"/>
    </row>
    <row r="168" ht="14.25" customHeight="1">
      <c r="A168" s="155"/>
      <c r="B168" s="155"/>
      <c r="C168" s="155"/>
      <c r="D168" s="155"/>
      <c r="I168" s="155"/>
      <c r="J168" s="145"/>
    </row>
    <row r="169" ht="14.25" customHeight="1">
      <c r="A169" s="155"/>
      <c r="B169" s="155"/>
      <c r="C169" s="155"/>
      <c r="D169" s="155"/>
      <c r="I169" s="155"/>
      <c r="J169" s="145"/>
    </row>
    <row r="170" ht="14.25" customHeight="1">
      <c r="A170" s="155"/>
      <c r="B170" s="155"/>
      <c r="C170" s="155"/>
      <c r="D170" s="155"/>
      <c r="I170" s="155"/>
      <c r="J170" s="145"/>
    </row>
    <row r="171" ht="14.25" customHeight="1">
      <c r="A171" s="155"/>
      <c r="B171" s="155"/>
      <c r="C171" s="155"/>
      <c r="D171" s="155"/>
      <c r="I171" s="155"/>
      <c r="J171" s="145"/>
    </row>
    <row r="172" ht="14.25" customHeight="1">
      <c r="A172" s="155"/>
      <c r="B172" s="155"/>
      <c r="C172" s="155"/>
      <c r="D172" s="155"/>
      <c r="I172" s="155"/>
      <c r="J172" s="145"/>
    </row>
    <row r="173" ht="14.25" customHeight="1">
      <c r="A173" s="155"/>
      <c r="B173" s="155"/>
      <c r="C173" s="155"/>
      <c r="D173" s="155"/>
      <c r="I173" s="155"/>
      <c r="J173" s="145"/>
    </row>
    <row r="174" ht="14.25" customHeight="1">
      <c r="A174" s="155"/>
      <c r="B174" s="155"/>
      <c r="C174" s="155"/>
      <c r="D174" s="155"/>
      <c r="I174" s="155"/>
      <c r="J174" s="145"/>
    </row>
    <row r="175" ht="14.25" customHeight="1">
      <c r="A175" s="155"/>
      <c r="B175" s="155"/>
      <c r="C175" s="155"/>
      <c r="D175" s="155"/>
      <c r="I175" s="155"/>
      <c r="J175" s="145"/>
    </row>
    <row r="176" ht="14.25" customHeight="1">
      <c r="A176" s="155"/>
      <c r="B176" s="155"/>
      <c r="C176" s="155"/>
      <c r="D176" s="155"/>
      <c r="I176" s="155"/>
      <c r="J176" s="145"/>
    </row>
    <row r="177" ht="14.25" customHeight="1">
      <c r="A177" s="155"/>
      <c r="B177" s="155"/>
      <c r="C177" s="155"/>
      <c r="D177" s="155"/>
      <c r="I177" s="155"/>
      <c r="J177" s="145"/>
    </row>
    <row r="178" ht="14.25" customHeight="1">
      <c r="A178" s="155"/>
      <c r="B178" s="155"/>
      <c r="C178" s="155"/>
      <c r="D178" s="155"/>
      <c r="I178" s="155"/>
      <c r="J178" s="145"/>
    </row>
    <row r="179" ht="14.25" customHeight="1">
      <c r="A179" s="155"/>
      <c r="B179" s="155"/>
      <c r="C179" s="155"/>
      <c r="D179" s="155"/>
      <c r="I179" s="155"/>
      <c r="J179" s="145"/>
    </row>
    <row r="180" ht="14.25" customHeight="1">
      <c r="A180" s="155"/>
      <c r="B180" s="155"/>
      <c r="C180" s="155"/>
      <c r="D180" s="155"/>
      <c r="I180" s="155"/>
      <c r="J180" s="145"/>
    </row>
    <row r="181" ht="14.25" customHeight="1">
      <c r="A181" s="155"/>
      <c r="B181" s="155"/>
      <c r="C181" s="155"/>
      <c r="D181" s="155"/>
      <c r="I181" s="155"/>
      <c r="J181" s="145"/>
    </row>
    <row r="182" ht="14.25" customHeight="1">
      <c r="A182" s="155"/>
      <c r="B182" s="155"/>
      <c r="C182" s="155"/>
      <c r="D182" s="155"/>
      <c r="I182" s="155"/>
      <c r="J182" s="145"/>
    </row>
    <row r="183" ht="14.25" customHeight="1">
      <c r="A183" s="155"/>
      <c r="B183" s="155"/>
      <c r="C183" s="155"/>
      <c r="D183" s="155"/>
      <c r="I183" s="155"/>
      <c r="J183" s="145"/>
    </row>
    <row r="184" ht="14.25" customHeight="1">
      <c r="A184" s="155"/>
      <c r="B184" s="155"/>
      <c r="C184" s="155"/>
      <c r="D184" s="155"/>
      <c r="I184" s="155"/>
      <c r="J184" s="145"/>
    </row>
    <row r="185" ht="14.25" customHeight="1">
      <c r="A185" s="155"/>
      <c r="B185" s="155"/>
      <c r="C185" s="155"/>
      <c r="D185" s="155"/>
      <c r="I185" s="155"/>
      <c r="J185" s="145"/>
    </row>
    <row r="186" ht="14.25" customHeight="1">
      <c r="A186" s="155"/>
      <c r="B186" s="155"/>
      <c r="C186" s="155"/>
      <c r="D186" s="155"/>
      <c r="I186" s="155"/>
      <c r="J186" s="145"/>
    </row>
    <row r="187" ht="14.25" customHeight="1">
      <c r="A187" s="155"/>
      <c r="B187" s="155"/>
      <c r="C187" s="155"/>
      <c r="D187" s="155"/>
      <c r="I187" s="155"/>
      <c r="J187" s="145"/>
    </row>
    <row r="188" ht="14.25" customHeight="1">
      <c r="A188" s="155"/>
      <c r="B188" s="155"/>
      <c r="C188" s="155"/>
      <c r="D188" s="155"/>
      <c r="I188" s="155"/>
      <c r="J188" s="145"/>
    </row>
    <row r="189" ht="14.25" customHeight="1">
      <c r="A189" s="155"/>
      <c r="B189" s="155"/>
      <c r="C189" s="155"/>
      <c r="D189" s="155"/>
      <c r="I189" s="155"/>
      <c r="J189" s="145"/>
    </row>
    <row r="190" ht="14.25" customHeight="1">
      <c r="A190" s="155"/>
      <c r="B190" s="155"/>
      <c r="C190" s="155"/>
      <c r="D190" s="155"/>
      <c r="I190" s="155"/>
      <c r="J190" s="145"/>
    </row>
    <row r="191" ht="14.25" customHeight="1">
      <c r="A191" s="155"/>
      <c r="B191" s="155"/>
      <c r="C191" s="155"/>
      <c r="D191" s="155"/>
      <c r="I191" s="155"/>
      <c r="J191" s="145"/>
    </row>
    <row r="192" ht="14.25" customHeight="1">
      <c r="A192" s="155"/>
      <c r="B192" s="155"/>
      <c r="C192" s="155"/>
      <c r="D192" s="155"/>
      <c r="I192" s="155"/>
      <c r="J192" s="145"/>
    </row>
    <row r="193" ht="14.25" customHeight="1">
      <c r="A193" s="155"/>
      <c r="B193" s="155"/>
      <c r="C193" s="155"/>
      <c r="D193" s="155"/>
      <c r="I193" s="155"/>
      <c r="J193" s="145"/>
    </row>
    <row r="194" ht="14.25" customHeight="1">
      <c r="A194" s="155"/>
      <c r="B194" s="155"/>
      <c r="C194" s="155"/>
      <c r="D194" s="155"/>
      <c r="I194" s="155"/>
      <c r="J194" s="145"/>
    </row>
    <row r="195" ht="14.25" customHeight="1">
      <c r="A195" s="155"/>
      <c r="B195" s="155"/>
      <c r="C195" s="155"/>
      <c r="D195" s="155"/>
      <c r="I195" s="155"/>
      <c r="J195" s="145"/>
    </row>
    <row r="196" ht="14.25" customHeight="1">
      <c r="A196" s="155"/>
      <c r="B196" s="155"/>
      <c r="C196" s="155"/>
      <c r="D196" s="155"/>
      <c r="I196" s="155"/>
      <c r="J196" s="145"/>
    </row>
    <row r="197" ht="14.25" customHeight="1">
      <c r="A197" s="155"/>
      <c r="B197" s="155"/>
      <c r="C197" s="155"/>
      <c r="D197" s="155"/>
      <c r="I197" s="155"/>
      <c r="J197" s="145"/>
    </row>
    <row r="198" ht="14.25" customHeight="1">
      <c r="A198" s="155"/>
      <c r="B198" s="155"/>
      <c r="C198" s="155"/>
      <c r="D198" s="155"/>
      <c r="I198" s="155"/>
      <c r="J198" s="145"/>
    </row>
    <row r="199" ht="14.25" customHeight="1">
      <c r="A199" s="155"/>
      <c r="B199" s="155"/>
      <c r="C199" s="155"/>
      <c r="D199" s="155"/>
      <c r="I199" s="155"/>
      <c r="J199" s="145"/>
    </row>
    <row r="200" ht="14.25" customHeight="1">
      <c r="A200" s="155"/>
      <c r="B200" s="155"/>
      <c r="C200" s="155"/>
      <c r="D200" s="155"/>
      <c r="I200" s="155"/>
      <c r="J200" s="145"/>
    </row>
    <row r="201" ht="14.25" customHeight="1">
      <c r="A201" s="155"/>
      <c r="B201" s="155"/>
      <c r="C201" s="155"/>
      <c r="D201" s="155"/>
      <c r="I201" s="155"/>
      <c r="J201" s="145"/>
    </row>
    <row r="202" ht="14.25" customHeight="1">
      <c r="A202" s="155"/>
      <c r="B202" s="155"/>
      <c r="C202" s="155"/>
      <c r="D202" s="155"/>
      <c r="I202" s="155"/>
      <c r="J202" s="145"/>
    </row>
    <row r="203" ht="14.25" customHeight="1">
      <c r="A203" s="155"/>
      <c r="B203" s="155"/>
      <c r="C203" s="155"/>
      <c r="D203" s="155"/>
      <c r="I203" s="155"/>
      <c r="J203" s="145"/>
    </row>
    <row r="204" ht="14.25" customHeight="1">
      <c r="A204" s="155"/>
      <c r="B204" s="155"/>
      <c r="C204" s="155"/>
      <c r="D204" s="155"/>
      <c r="I204" s="155"/>
      <c r="J204" s="145"/>
    </row>
    <row r="205" ht="14.25" customHeight="1">
      <c r="A205" s="155"/>
      <c r="B205" s="155"/>
      <c r="C205" s="155"/>
      <c r="D205" s="155"/>
      <c r="I205" s="155"/>
      <c r="J205" s="145"/>
    </row>
    <row r="206" ht="14.25" customHeight="1">
      <c r="A206" s="155"/>
      <c r="B206" s="155"/>
      <c r="C206" s="155"/>
      <c r="D206" s="155"/>
      <c r="I206" s="155"/>
      <c r="J206" s="145"/>
    </row>
    <row r="207" ht="14.25" customHeight="1">
      <c r="A207" s="155"/>
      <c r="B207" s="155"/>
      <c r="C207" s="155"/>
      <c r="D207" s="155"/>
      <c r="I207" s="155"/>
      <c r="J207" s="145"/>
    </row>
    <row r="208" ht="14.25" customHeight="1">
      <c r="A208" s="155"/>
      <c r="B208" s="155"/>
      <c r="C208" s="155"/>
      <c r="D208" s="155"/>
      <c r="I208" s="155"/>
      <c r="J208" s="145"/>
    </row>
    <row r="209" ht="14.25" customHeight="1">
      <c r="A209" s="155"/>
      <c r="B209" s="155"/>
      <c r="C209" s="155"/>
      <c r="D209" s="155"/>
      <c r="I209" s="155"/>
      <c r="J209" s="145"/>
    </row>
    <row r="210" ht="14.25" customHeight="1">
      <c r="A210" s="155"/>
      <c r="B210" s="155"/>
      <c r="C210" s="155"/>
      <c r="D210" s="155"/>
      <c r="I210" s="155"/>
      <c r="J210" s="145"/>
    </row>
    <row r="211" ht="14.25" customHeight="1">
      <c r="A211" s="155"/>
      <c r="B211" s="155"/>
      <c r="C211" s="155"/>
      <c r="D211" s="155"/>
      <c r="I211" s="155"/>
      <c r="J211" s="145"/>
    </row>
    <row r="212" ht="14.25" customHeight="1">
      <c r="A212" s="155"/>
      <c r="B212" s="155"/>
      <c r="C212" s="155"/>
      <c r="D212" s="155"/>
      <c r="I212" s="155"/>
      <c r="J212" s="145"/>
    </row>
    <row r="213" ht="14.25" customHeight="1">
      <c r="A213" s="155"/>
      <c r="B213" s="155"/>
      <c r="C213" s="155"/>
      <c r="D213" s="155"/>
      <c r="I213" s="155"/>
      <c r="J213" s="145"/>
    </row>
    <row r="214" ht="14.25" customHeight="1">
      <c r="A214" s="155"/>
      <c r="B214" s="155"/>
      <c r="C214" s="155"/>
      <c r="D214" s="155"/>
      <c r="I214" s="155"/>
      <c r="J214" s="145"/>
    </row>
    <row r="215" ht="14.25" customHeight="1">
      <c r="A215" s="155"/>
      <c r="B215" s="155"/>
      <c r="C215" s="155"/>
      <c r="D215" s="155"/>
      <c r="I215" s="155"/>
      <c r="J215" s="145"/>
    </row>
    <row r="216" ht="14.25" customHeight="1">
      <c r="A216" s="155"/>
      <c r="B216" s="155"/>
      <c r="C216" s="155"/>
      <c r="D216" s="155"/>
      <c r="I216" s="155"/>
      <c r="J216" s="145"/>
    </row>
    <row r="217" ht="14.25" customHeight="1">
      <c r="A217" s="155"/>
      <c r="B217" s="155"/>
      <c r="C217" s="155"/>
      <c r="D217" s="155"/>
      <c r="I217" s="155"/>
      <c r="J217" s="145"/>
    </row>
    <row r="218" ht="14.25" customHeight="1">
      <c r="A218" s="155"/>
      <c r="B218" s="155"/>
      <c r="C218" s="155"/>
      <c r="D218" s="155"/>
      <c r="I218" s="155"/>
      <c r="J218" s="145"/>
    </row>
    <row r="219" ht="14.25" customHeight="1">
      <c r="A219" s="155"/>
      <c r="B219" s="155"/>
      <c r="C219" s="155"/>
      <c r="D219" s="155"/>
      <c r="I219" s="155"/>
      <c r="J219" s="145"/>
    </row>
    <row r="220" ht="14.25" customHeight="1">
      <c r="A220" s="155"/>
      <c r="B220" s="155"/>
      <c r="C220" s="155"/>
      <c r="D220" s="155"/>
      <c r="I220" s="155"/>
      <c r="J220" s="145"/>
    </row>
    <row r="221" ht="14.25" customHeight="1">
      <c r="A221" s="155"/>
      <c r="B221" s="155"/>
      <c r="C221" s="155"/>
      <c r="D221" s="155"/>
      <c r="I221" s="155"/>
      <c r="J221" s="145"/>
    </row>
    <row r="222" ht="14.25" customHeight="1">
      <c r="A222" s="155"/>
      <c r="B222" s="155"/>
      <c r="C222" s="155"/>
      <c r="D222" s="155"/>
      <c r="I222" s="155"/>
      <c r="J222" s="145"/>
    </row>
    <row r="223" ht="14.25" customHeight="1">
      <c r="A223" s="155"/>
      <c r="B223" s="155"/>
      <c r="C223" s="155"/>
      <c r="D223" s="155"/>
      <c r="I223" s="155"/>
      <c r="J223" s="145"/>
    </row>
    <row r="224" ht="14.25" customHeight="1">
      <c r="A224" s="155"/>
      <c r="B224" s="155"/>
      <c r="C224" s="155"/>
      <c r="D224" s="155"/>
      <c r="I224" s="155"/>
      <c r="J224" s="145"/>
    </row>
    <row r="225" ht="14.25" customHeight="1">
      <c r="A225" s="155"/>
      <c r="B225" s="155"/>
      <c r="C225" s="155"/>
      <c r="D225" s="155"/>
      <c r="I225" s="155"/>
      <c r="J225" s="145"/>
    </row>
    <row r="226" ht="14.25" customHeight="1">
      <c r="A226" s="155"/>
      <c r="B226" s="155"/>
      <c r="C226" s="155"/>
      <c r="D226" s="155"/>
      <c r="I226" s="155"/>
      <c r="J226" s="145"/>
    </row>
    <row r="227" ht="14.25" customHeight="1">
      <c r="A227" s="155"/>
      <c r="B227" s="155"/>
      <c r="C227" s="155"/>
      <c r="D227" s="155"/>
      <c r="I227" s="155"/>
      <c r="J227" s="145"/>
    </row>
    <row r="228" ht="14.25" customHeight="1">
      <c r="A228" s="155"/>
      <c r="B228" s="155"/>
      <c r="C228" s="155"/>
      <c r="D228" s="155"/>
      <c r="I228" s="155"/>
      <c r="J228" s="145"/>
    </row>
    <row r="229" ht="15.75" customHeight="1">
      <c r="J229" s="145"/>
    </row>
    <row r="230" ht="15.75" customHeight="1">
      <c r="J230" s="145"/>
    </row>
    <row r="231" ht="15.75" customHeight="1">
      <c r="J231" s="145"/>
    </row>
    <row r="232" ht="15.75" customHeight="1">
      <c r="J232" s="145"/>
    </row>
    <row r="233" ht="15.75" customHeight="1">
      <c r="J233" s="145"/>
    </row>
    <row r="234" ht="15.75" customHeight="1">
      <c r="J234" s="145"/>
    </row>
    <row r="235" ht="15.75" customHeight="1">
      <c r="J235" s="145"/>
    </row>
    <row r="236" ht="15.75" customHeight="1">
      <c r="J236" s="145"/>
    </row>
    <row r="237" ht="15.75" customHeight="1">
      <c r="J237" s="145"/>
    </row>
    <row r="238" ht="15.75" customHeight="1">
      <c r="J238" s="145"/>
    </row>
    <row r="239" ht="15.75" customHeight="1">
      <c r="J239" s="145"/>
    </row>
    <row r="240" ht="15.75" customHeight="1">
      <c r="J240" s="145"/>
    </row>
    <row r="241" ht="15.75" customHeight="1">
      <c r="J241" s="145"/>
    </row>
    <row r="242" ht="15.75" customHeight="1">
      <c r="J242" s="145"/>
    </row>
    <row r="243" ht="15.75" customHeight="1">
      <c r="J243" s="145"/>
    </row>
    <row r="244" ht="15.75" customHeight="1">
      <c r="J244" s="145"/>
    </row>
    <row r="245" ht="15.75" customHeight="1">
      <c r="J245" s="145"/>
    </row>
    <row r="246" ht="15.75" customHeight="1">
      <c r="J246" s="145"/>
    </row>
    <row r="247" ht="15.75" customHeight="1">
      <c r="J247" s="145"/>
    </row>
    <row r="248" ht="15.75" customHeight="1">
      <c r="J248" s="145"/>
    </row>
    <row r="249" ht="15.75" customHeight="1">
      <c r="J249" s="145"/>
    </row>
    <row r="250" ht="15.75" customHeight="1">
      <c r="J250" s="145"/>
    </row>
    <row r="251" ht="15.75" customHeight="1">
      <c r="J251" s="145"/>
    </row>
    <row r="252" ht="15.75" customHeight="1">
      <c r="J252" s="145"/>
    </row>
    <row r="253" ht="15.75" customHeight="1">
      <c r="J253" s="145"/>
    </row>
    <row r="254" ht="15.75" customHeight="1">
      <c r="J254" s="145"/>
    </row>
    <row r="255" ht="15.75" customHeight="1">
      <c r="J255" s="145"/>
    </row>
    <row r="256" ht="15.75" customHeight="1">
      <c r="J256" s="145"/>
    </row>
    <row r="257" ht="15.75" customHeight="1">
      <c r="J257" s="145"/>
    </row>
    <row r="258" ht="15.75" customHeight="1">
      <c r="J258" s="145"/>
    </row>
    <row r="259" ht="15.75" customHeight="1">
      <c r="J259" s="145"/>
    </row>
    <row r="260" ht="15.75" customHeight="1">
      <c r="J260" s="145"/>
    </row>
    <row r="261" ht="15.75" customHeight="1">
      <c r="J261" s="145"/>
    </row>
    <row r="262" ht="15.75" customHeight="1">
      <c r="J262" s="145"/>
    </row>
    <row r="263" ht="15.75" customHeight="1">
      <c r="J263" s="145"/>
    </row>
    <row r="264" ht="15.75" customHeight="1">
      <c r="J264" s="145"/>
    </row>
    <row r="265" ht="15.75" customHeight="1">
      <c r="J265" s="145"/>
    </row>
    <row r="266" ht="15.75" customHeight="1">
      <c r="J266" s="145"/>
    </row>
    <row r="267" ht="15.75" customHeight="1">
      <c r="J267" s="145"/>
    </row>
    <row r="268" ht="15.75" customHeight="1">
      <c r="J268" s="145"/>
    </row>
    <row r="269" ht="15.75" customHeight="1">
      <c r="J269" s="145"/>
    </row>
    <row r="270" ht="15.75" customHeight="1">
      <c r="J270" s="145"/>
    </row>
    <row r="271" ht="15.75" customHeight="1">
      <c r="J271" s="145"/>
    </row>
    <row r="272" ht="15.75" customHeight="1">
      <c r="J272" s="145"/>
    </row>
    <row r="273" ht="15.75" customHeight="1">
      <c r="J273" s="145"/>
    </row>
    <row r="274" ht="15.75" customHeight="1">
      <c r="J274" s="145"/>
    </row>
    <row r="275" ht="15.75" customHeight="1">
      <c r="J275" s="145"/>
    </row>
    <row r="276" ht="15.75" customHeight="1">
      <c r="J276" s="145"/>
    </row>
    <row r="277" ht="15.75" customHeight="1">
      <c r="J277" s="145"/>
    </row>
    <row r="278" ht="15.75" customHeight="1">
      <c r="J278" s="145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E3:E4"/>
    <mergeCell ref="F3:F4"/>
    <mergeCell ref="A1:J1"/>
    <mergeCell ref="A2:A4"/>
    <mergeCell ref="B2:B4"/>
    <mergeCell ref="C2:C4"/>
    <mergeCell ref="D2:D4"/>
    <mergeCell ref="E2:I2"/>
    <mergeCell ref="J2:J4"/>
    <mergeCell ref="A5:J5"/>
    <mergeCell ref="H56:I56"/>
    <mergeCell ref="H63:I63"/>
    <mergeCell ref="H70:I70"/>
    <mergeCell ref="E74:I74"/>
    <mergeCell ref="E75:I75"/>
    <mergeCell ref="E76:I76"/>
    <mergeCell ref="E77:I77"/>
    <mergeCell ref="E78:I78"/>
    <mergeCell ref="G3:G4"/>
    <mergeCell ref="H3:I3"/>
    <mergeCell ref="E38:I38"/>
    <mergeCell ref="E39:I39"/>
    <mergeCell ref="E40:I40"/>
    <mergeCell ref="E41:I41"/>
    <mergeCell ref="H49:I49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J49"/>
    <hyperlink r:id="rId18" ref="E55"/>
    <hyperlink r:id="rId19" ref="H55"/>
    <hyperlink r:id="rId20" ref="J56"/>
    <hyperlink r:id="rId21" ref="E62"/>
    <hyperlink r:id="rId22" ref="H62"/>
    <hyperlink r:id="rId23" ref="J63"/>
    <hyperlink r:id="rId24" ref="E69"/>
    <hyperlink r:id="rId25" ref="H69"/>
    <hyperlink r:id="rId26" ref="J70"/>
    <hyperlink r:id="rId27" ref="J71"/>
    <hyperlink r:id="rId28" ref="J72"/>
    <hyperlink r:id="rId29" ref="J73"/>
    <hyperlink r:id="rId30" ref="J76"/>
    <hyperlink r:id="rId31" ref="J77"/>
  </hyperlinks>
  <printOptions/>
  <pageMargins bottom="0.39" footer="0.0" header="0.0" left="0.17" right="0.17" top="0.48"/>
  <pageSetup paperSize="9" scale="59"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43"/>
    <col customWidth="1" min="2" max="2" width="12.0"/>
    <col customWidth="1" min="3" max="3" width="18.43"/>
    <col customWidth="1" min="4" max="4" width="11.71"/>
    <col customWidth="1" min="5" max="5" width="50.29"/>
    <col customWidth="1" min="6" max="6" width="46.57"/>
    <col customWidth="1" min="7" max="7" width="54.86"/>
    <col customWidth="1" min="8" max="8" width="26.14"/>
    <col customWidth="1" min="9" max="10" width="19.86"/>
    <col customWidth="1" min="11" max="25" width="8.71"/>
  </cols>
  <sheetData>
    <row r="1" ht="60.0" customHeight="1">
      <c r="A1" s="2" t="s">
        <v>0</v>
      </c>
      <c r="L1" s="5"/>
    </row>
    <row r="2" ht="29.25" customHeight="1">
      <c r="A2" s="3" t="s">
        <v>2</v>
      </c>
      <c r="B2" s="6" t="s">
        <v>5</v>
      </c>
      <c r="C2" s="3" t="s">
        <v>6</v>
      </c>
      <c r="D2" s="6" t="s">
        <v>7</v>
      </c>
      <c r="E2" s="8" t="s">
        <v>8</v>
      </c>
      <c r="F2" s="9"/>
      <c r="G2" s="9"/>
      <c r="H2" s="9"/>
      <c r="I2" s="9"/>
      <c r="J2" s="11"/>
      <c r="L2" s="5"/>
    </row>
    <row r="3" ht="21.0" customHeight="1">
      <c r="A3" s="13"/>
      <c r="B3" s="13"/>
      <c r="C3" s="13"/>
      <c r="D3" s="13"/>
      <c r="E3" s="3" t="s">
        <v>10</v>
      </c>
      <c r="F3" s="3" t="s">
        <v>11</v>
      </c>
      <c r="G3" s="3" t="s">
        <v>12</v>
      </c>
      <c r="H3" s="15" t="s">
        <v>13</v>
      </c>
      <c r="I3" s="9"/>
      <c r="J3" s="11"/>
      <c r="L3" s="5"/>
    </row>
    <row r="4" ht="37.5" customHeight="1">
      <c r="A4" s="16"/>
      <c r="B4" s="16"/>
      <c r="C4" s="13"/>
      <c r="D4" s="17"/>
      <c r="E4" s="17"/>
      <c r="F4" s="17"/>
      <c r="G4" s="17"/>
      <c r="H4" s="18" t="s">
        <v>14</v>
      </c>
      <c r="I4" s="18" t="s">
        <v>16</v>
      </c>
      <c r="J4" s="18" t="s">
        <v>17</v>
      </c>
      <c r="L4" s="5"/>
    </row>
    <row r="5" ht="39.0" customHeight="1">
      <c r="A5" s="21" t="s">
        <v>18</v>
      </c>
      <c r="B5" s="22"/>
      <c r="C5" s="22"/>
      <c r="D5" s="22"/>
      <c r="E5" s="22"/>
      <c r="F5" s="22"/>
      <c r="G5" s="22"/>
      <c r="H5" s="22"/>
      <c r="I5" s="22"/>
      <c r="J5" s="25"/>
      <c r="L5" s="5"/>
    </row>
    <row r="6" ht="84.75" customHeight="1">
      <c r="A6" s="26">
        <v>46245.0</v>
      </c>
      <c r="B6" s="29">
        <v>1.0</v>
      </c>
      <c r="C6" s="32" t="s">
        <v>22</v>
      </c>
      <c r="D6" s="34" t="s">
        <v>24</v>
      </c>
      <c r="E6" s="36" t="s">
        <v>25</v>
      </c>
      <c r="F6" s="36" t="s">
        <v>26</v>
      </c>
      <c r="G6" s="36" t="s">
        <v>27</v>
      </c>
      <c r="H6" s="34" t="s">
        <v>24</v>
      </c>
      <c r="I6" s="41">
        <f t="shared" ref="I6:I39" si="1">B6</f>
        <v>1</v>
      </c>
      <c r="J6" s="43" t="s">
        <v>29</v>
      </c>
      <c r="L6" s="5"/>
    </row>
    <row r="7" ht="61.5" customHeight="1">
      <c r="A7" s="26">
        <v>46248.0</v>
      </c>
      <c r="B7" s="29">
        <v>2.0</v>
      </c>
      <c r="C7" s="32" t="s">
        <v>22</v>
      </c>
      <c r="D7" s="46">
        <v>45844.0</v>
      </c>
      <c r="E7" s="36" t="s">
        <v>32</v>
      </c>
      <c r="F7" s="36" t="s">
        <v>33</v>
      </c>
      <c r="G7" s="36" t="s">
        <v>34</v>
      </c>
      <c r="H7" s="46">
        <v>45844.0</v>
      </c>
      <c r="I7" s="41">
        <f t="shared" si="1"/>
        <v>2</v>
      </c>
      <c r="J7" s="49" t="s">
        <v>38</v>
      </c>
      <c r="L7" s="5"/>
    </row>
    <row r="8" ht="101.25" customHeight="1">
      <c r="A8" s="26">
        <v>46252.0</v>
      </c>
      <c r="B8" s="29">
        <v>3.0</v>
      </c>
      <c r="C8" s="32" t="s">
        <v>22</v>
      </c>
      <c r="D8" s="51" t="s">
        <v>39</v>
      </c>
      <c r="E8" s="36" t="s">
        <v>45</v>
      </c>
      <c r="F8" s="36" t="s">
        <v>47</v>
      </c>
      <c r="G8" s="36" t="s">
        <v>48</v>
      </c>
      <c r="H8" s="51" t="s">
        <v>39</v>
      </c>
      <c r="I8" s="41">
        <f t="shared" si="1"/>
        <v>3</v>
      </c>
      <c r="J8" s="49" t="s">
        <v>51</v>
      </c>
      <c r="L8" s="5"/>
    </row>
    <row r="9" ht="113.25" customHeight="1">
      <c r="A9" s="26">
        <v>46255.0</v>
      </c>
      <c r="B9" s="29">
        <v>4.0</v>
      </c>
      <c r="C9" s="32" t="s">
        <v>22</v>
      </c>
      <c r="D9" s="54" t="s">
        <v>54</v>
      </c>
      <c r="E9" s="58" t="s">
        <v>59</v>
      </c>
      <c r="F9" s="36" t="s">
        <v>56</v>
      </c>
      <c r="G9" s="60" t="s">
        <v>57</v>
      </c>
      <c r="H9" s="62" t="s">
        <v>63</v>
      </c>
      <c r="I9" s="41">
        <f t="shared" si="1"/>
        <v>4</v>
      </c>
      <c r="J9" s="49" t="s">
        <v>60</v>
      </c>
      <c r="L9" s="5"/>
    </row>
    <row r="10" ht="91.5" customHeight="1">
      <c r="A10" s="65">
        <v>46259.0</v>
      </c>
      <c r="B10" s="29">
        <v>5.0</v>
      </c>
      <c r="C10" s="67" t="s">
        <v>62</v>
      </c>
      <c r="D10" s="69" t="s">
        <v>64</v>
      </c>
      <c r="E10" s="70" t="s">
        <v>65</v>
      </c>
      <c r="F10" s="70" t="s">
        <v>69</v>
      </c>
      <c r="G10" s="70" t="s">
        <v>67</v>
      </c>
      <c r="H10" s="69" t="s">
        <v>64</v>
      </c>
      <c r="I10" s="41">
        <f t="shared" si="1"/>
        <v>5</v>
      </c>
      <c r="J10" s="72" t="s">
        <v>29</v>
      </c>
      <c r="K10" s="68"/>
      <c r="L10" s="73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 ht="61.5" customHeight="1">
      <c r="A11" s="26">
        <v>46262.0</v>
      </c>
      <c r="B11" s="29">
        <v>6.0</v>
      </c>
      <c r="C11" s="41" t="s">
        <v>62</v>
      </c>
      <c r="D11" s="75" t="s">
        <v>70</v>
      </c>
      <c r="E11" s="36" t="s">
        <v>83</v>
      </c>
      <c r="F11" s="36" t="s">
        <v>72</v>
      </c>
      <c r="G11" s="36" t="s">
        <v>84</v>
      </c>
      <c r="H11" s="29">
        <v>12.0</v>
      </c>
      <c r="I11" s="41">
        <f t="shared" si="1"/>
        <v>6</v>
      </c>
      <c r="J11" s="49" t="s">
        <v>74</v>
      </c>
      <c r="L11" s="5"/>
    </row>
    <row r="12" ht="78.0" customHeight="1">
      <c r="A12" s="65">
        <v>46266.0</v>
      </c>
      <c r="B12" s="29">
        <v>7.0</v>
      </c>
      <c r="C12" s="41" t="s">
        <v>62</v>
      </c>
      <c r="D12" s="77" t="s">
        <v>90</v>
      </c>
      <c r="E12" s="60" t="s">
        <v>93</v>
      </c>
      <c r="F12" s="36" t="s">
        <v>94</v>
      </c>
      <c r="G12" s="36" t="s">
        <v>95</v>
      </c>
      <c r="H12" s="29">
        <v>13.0</v>
      </c>
      <c r="I12" s="41">
        <f t="shared" si="1"/>
        <v>7</v>
      </c>
      <c r="J12" s="49" t="s">
        <v>76</v>
      </c>
      <c r="L12" s="5"/>
    </row>
    <row r="13" ht="81.0" customHeight="1">
      <c r="A13" s="26"/>
      <c r="B13" s="29">
        <v>8.0</v>
      </c>
      <c r="C13" s="41" t="s">
        <v>97</v>
      </c>
      <c r="D13" s="79" t="s">
        <v>98</v>
      </c>
      <c r="E13" s="58" t="s">
        <v>99</v>
      </c>
      <c r="F13" s="60" t="s">
        <v>110</v>
      </c>
      <c r="G13" s="36" t="s">
        <v>81</v>
      </c>
      <c r="H13" s="75" t="s">
        <v>78</v>
      </c>
      <c r="I13" s="41">
        <f t="shared" si="1"/>
        <v>8</v>
      </c>
      <c r="J13" s="81" t="s">
        <v>82</v>
      </c>
      <c r="L13" s="5"/>
    </row>
    <row r="14" ht="87.75" customHeight="1">
      <c r="A14" s="65"/>
      <c r="B14" s="29">
        <v>9.0</v>
      </c>
      <c r="C14" s="41" t="s">
        <v>62</v>
      </c>
      <c r="D14" s="34" t="s">
        <v>86</v>
      </c>
      <c r="E14" s="60" t="s">
        <v>119</v>
      </c>
      <c r="F14" s="60" t="s">
        <v>121</v>
      </c>
      <c r="G14" s="36" t="s">
        <v>123</v>
      </c>
      <c r="H14" s="29" t="s">
        <v>86</v>
      </c>
      <c r="I14" s="41">
        <f t="shared" si="1"/>
        <v>9</v>
      </c>
      <c r="J14" s="81" t="s">
        <v>91</v>
      </c>
      <c r="L14" s="5"/>
    </row>
    <row r="15" ht="66.0" customHeight="1">
      <c r="A15" s="26"/>
      <c r="B15" s="29">
        <v>10.0</v>
      </c>
      <c r="C15" s="41" t="s">
        <v>62</v>
      </c>
      <c r="D15" s="83" t="s">
        <v>131</v>
      </c>
      <c r="E15" s="84" t="s">
        <v>133</v>
      </c>
      <c r="F15" s="36" t="s">
        <v>94</v>
      </c>
      <c r="G15" s="60" t="s">
        <v>57</v>
      </c>
      <c r="H15" s="62" t="s">
        <v>63</v>
      </c>
      <c r="I15" s="41">
        <f t="shared" si="1"/>
        <v>10</v>
      </c>
      <c r="J15" s="49" t="s">
        <v>101</v>
      </c>
      <c r="L15" s="5"/>
    </row>
    <row r="16" ht="80.25" customHeight="1">
      <c r="A16" s="65"/>
      <c r="B16" s="29">
        <v>11.0</v>
      </c>
      <c r="C16" s="41" t="s">
        <v>103</v>
      </c>
      <c r="D16" s="29" t="s">
        <v>104</v>
      </c>
      <c r="E16" s="36" t="s">
        <v>105</v>
      </c>
      <c r="F16" s="36" t="s">
        <v>106</v>
      </c>
      <c r="G16" s="36" t="s">
        <v>107</v>
      </c>
      <c r="H16" s="29" t="s">
        <v>104</v>
      </c>
      <c r="I16" s="41">
        <f t="shared" si="1"/>
        <v>11</v>
      </c>
      <c r="J16" s="49" t="s">
        <v>108</v>
      </c>
      <c r="L16" s="5"/>
    </row>
    <row r="17" ht="94.5" customHeight="1">
      <c r="A17" s="26"/>
      <c r="B17" s="29">
        <v>12.0</v>
      </c>
      <c r="C17" s="41" t="s">
        <v>103</v>
      </c>
      <c r="D17" s="29" t="s">
        <v>111</v>
      </c>
      <c r="E17" s="36" t="s">
        <v>145</v>
      </c>
      <c r="F17" s="36" t="s">
        <v>113</v>
      </c>
      <c r="G17" s="36" t="s">
        <v>114</v>
      </c>
      <c r="H17" s="29">
        <v>20.0</v>
      </c>
      <c r="I17" s="41">
        <f t="shared" si="1"/>
        <v>12</v>
      </c>
      <c r="J17" s="49" t="s">
        <v>115</v>
      </c>
      <c r="L17" s="5"/>
    </row>
    <row r="18" ht="94.5" customHeight="1">
      <c r="A18" s="86"/>
      <c r="B18" s="29">
        <v>13.0</v>
      </c>
      <c r="C18" s="41" t="s">
        <v>103</v>
      </c>
      <c r="D18" s="77" t="s">
        <v>151</v>
      </c>
      <c r="E18" s="36" t="s">
        <v>154</v>
      </c>
      <c r="F18" s="60" t="s">
        <v>156</v>
      </c>
      <c r="G18" s="36" t="s">
        <v>114</v>
      </c>
      <c r="H18" s="29">
        <v>21.0</v>
      </c>
      <c r="I18" s="41">
        <f t="shared" si="1"/>
        <v>13</v>
      </c>
      <c r="J18" s="49" t="s">
        <v>117</v>
      </c>
      <c r="L18" s="5"/>
    </row>
    <row r="19" ht="96.0" customHeight="1">
      <c r="A19" s="26"/>
      <c r="B19" s="29">
        <v>14.0</v>
      </c>
      <c r="C19" s="41" t="s">
        <v>103</v>
      </c>
      <c r="D19" s="54" t="s">
        <v>163</v>
      </c>
      <c r="E19" s="58" t="s">
        <v>164</v>
      </c>
      <c r="F19" s="60" t="s">
        <v>169</v>
      </c>
      <c r="G19" s="36" t="s">
        <v>125</v>
      </c>
      <c r="H19" s="29" t="s">
        <v>120</v>
      </c>
      <c r="I19" s="41">
        <f t="shared" si="1"/>
        <v>14</v>
      </c>
      <c r="J19" s="49" t="s">
        <v>51</v>
      </c>
      <c r="L19" s="5"/>
    </row>
    <row r="20" ht="84.0" customHeight="1">
      <c r="A20" s="65"/>
      <c r="B20" s="29">
        <v>15.0</v>
      </c>
      <c r="C20" s="41" t="s">
        <v>103</v>
      </c>
      <c r="D20" s="34" t="s">
        <v>127</v>
      </c>
      <c r="E20" s="36" t="s">
        <v>177</v>
      </c>
      <c r="F20" s="60" t="s">
        <v>178</v>
      </c>
      <c r="G20" s="36" t="s">
        <v>130</v>
      </c>
      <c r="H20" s="29" t="s">
        <v>127</v>
      </c>
      <c r="I20" s="41">
        <f t="shared" si="1"/>
        <v>15</v>
      </c>
      <c r="J20" s="49" t="s">
        <v>44</v>
      </c>
      <c r="L20" s="5"/>
    </row>
    <row r="21" ht="63.0" customHeight="1">
      <c r="A21" s="26"/>
      <c r="B21" s="29">
        <v>16.0</v>
      </c>
      <c r="C21" s="41" t="s">
        <v>103</v>
      </c>
      <c r="D21" s="83" t="s">
        <v>131</v>
      </c>
      <c r="E21" s="84" t="s">
        <v>183</v>
      </c>
      <c r="F21" s="36" t="s">
        <v>113</v>
      </c>
      <c r="G21" s="60" t="s">
        <v>57</v>
      </c>
      <c r="H21" s="62" t="s">
        <v>63</v>
      </c>
      <c r="I21" s="41">
        <f t="shared" si="1"/>
        <v>16</v>
      </c>
      <c r="J21" s="49" t="s">
        <v>136</v>
      </c>
      <c r="L21" s="5"/>
    </row>
    <row r="22" ht="63.0" customHeight="1">
      <c r="A22" s="65"/>
      <c r="B22" s="29">
        <v>17.0</v>
      </c>
      <c r="C22" s="41" t="s">
        <v>138</v>
      </c>
      <c r="D22" s="29" t="s">
        <v>139</v>
      </c>
      <c r="E22" s="36" t="s">
        <v>140</v>
      </c>
      <c r="F22" s="36" t="s">
        <v>141</v>
      </c>
      <c r="G22" s="36" t="s">
        <v>142</v>
      </c>
      <c r="H22" s="41" t="s">
        <v>139</v>
      </c>
      <c r="I22" s="41">
        <f t="shared" si="1"/>
        <v>17</v>
      </c>
      <c r="J22" s="49" t="s">
        <v>29</v>
      </c>
      <c r="L22" s="5"/>
    </row>
    <row r="23" ht="63.0" customHeight="1">
      <c r="A23" s="26"/>
      <c r="B23" s="29">
        <v>18.0</v>
      </c>
      <c r="C23" s="41" t="s">
        <v>138</v>
      </c>
      <c r="D23" s="29" t="s">
        <v>144</v>
      </c>
      <c r="E23" s="36" t="s">
        <v>146</v>
      </c>
      <c r="F23" s="36" t="s">
        <v>147</v>
      </c>
      <c r="G23" s="60" t="s">
        <v>199</v>
      </c>
      <c r="H23" s="41">
        <v>30.0</v>
      </c>
      <c r="I23" s="41">
        <f t="shared" si="1"/>
        <v>18</v>
      </c>
      <c r="J23" s="49" t="s">
        <v>74</v>
      </c>
      <c r="L23" s="5"/>
    </row>
    <row r="24" ht="63.0" customHeight="1">
      <c r="A24" s="65"/>
      <c r="B24" s="29">
        <v>19.0</v>
      </c>
      <c r="C24" s="41" t="s">
        <v>138</v>
      </c>
      <c r="D24" s="77" t="s">
        <v>201</v>
      </c>
      <c r="E24" s="60" t="s">
        <v>203</v>
      </c>
      <c r="F24" s="60" t="s">
        <v>204</v>
      </c>
      <c r="G24" s="36" t="s">
        <v>206</v>
      </c>
      <c r="H24" s="41">
        <v>31.0</v>
      </c>
      <c r="I24" s="41">
        <f t="shared" si="1"/>
        <v>19</v>
      </c>
      <c r="J24" s="49" t="s">
        <v>76</v>
      </c>
      <c r="L24" s="5"/>
    </row>
    <row r="25" ht="80.25" customHeight="1">
      <c r="A25" s="26"/>
      <c r="B25" s="29">
        <v>20.0</v>
      </c>
      <c r="C25" s="41" t="s">
        <v>138</v>
      </c>
      <c r="D25" s="54" t="s">
        <v>212</v>
      </c>
      <c r="E25" s="58" t="s">
        <v>216</v>
      </c>
      <c r="F25" s="60" t="s">
        <v>217</v>
      </c>
      <c r="G25" s="36" t="s">
        <v>125</v>
      </c>
      <c r="H25" s="41" t="s">
        <v>152</v>
      </c>
      <c r="I25" s="41">
        <f t="shared" si="1"/>
        <v>20</v>
      </c>
      <c r="J25" s="49" t="s">
        <v>157</v>
      </c>
      <c r="L25" s="5"/>
    </row>
    <row r="26" ht="63.0" customHeight="1">
      <c r="A26" s="65"/>
      <c r="B26" s="29">
        <v>21.0</v>
      </c>
      <c r="C26" s="41" t="s">
        <v>138</v>
      </c>
      <c r="D26" s="29" t="s">
        <v>159</v>
      </c>
      <c r="E26" s="36" t="s">
        <v>223</v>
      </c>
      <c r="F26" s="60" t="s">
        <v>224</v>
      </c>
      <c r="G26" s="36" t="s">
        <v>162</v>
      </c>
      <c r="H26" s="41" t="s">
        <v>159</v>
      </c>
      <c r="I26" s="41">
        <f t="shared" si="1"/>
        <v>21</v>
      </c>
      <c r="J26" s="49" t="s">
        <v>51</v>
      </c>
      <c r="L26" s="5"/>
    </row>
    <row r="27" ht="79.5" customHeight="1">
      <c r="A27" s="26"/>
      <c r="B27" s="29">
        <v>22.0</v>
      </c>
      <c r="C27" s="41" t="s">
        <v>138</v>
      </c>
      <c r="D27" s="83" t="s">
        <v>131</v>
      </c>
      <c r="E27" s="84" t="s">
        <v>230</v>
      </c>
      <c r="F27" s="36" t="s">
        <v>167</v>
      </c>
      <c r="G27" s="60" t="s">
        <v>57</v>
      </c>
      <c r="H27" s="62" t="s">
        <v>63</v>
      </c>
      <c r="I27" s="41">
        <f t="shared" si="1"/>
        <v>22</v>
      </c>
      <c r="J27" s="49" t="s">
        <v>170</v>
      </c>
      <c r="L27" s="5"/>
    </row>
    <row r="28" ht="87.0" customHeight="1">
      <c r="A28" s="65"/>
      <c r="B28" s="29">
        <v>23.0</v>
      </c>
      <c r="C28" s="41" t="s">
        <v>172</v>
      </c>
      <c r="D28" s="29" t="s">
        <v>173</v>
      </c>
      <c r="E28" s="36" t="s">
        <v>174</v>
      </c>
      <c r="F28" s="36" t="s">
        <v>175</v>
      </c>
      <c r="G28" s="36" t="s">
        <v>176</v>
      </c>
      <c r="H28" s="41" t="s">
        <v>173</v>
      </c>
      <c r="I28" s="41">
        <f t="shared" si="1"/>
        <v>23</v>
      </c>
      <c r="J28" s="49" t="s">
        <v>115</v>
      </c>
      <c r="L28" s="5"/>
    </row>
    <row r="29" ht="57.0" customHeight="1">
      <c r="A29" s="26"/>
      <c r="B29" s="29">
        <v>24.0</v>
      </c>
      <c r="C29" s="41" t="s">
        <v>172</v>
      </c>
      <c r="D29" s="29" t="s">
        <v>182</v>
      </c>
      <c r="E29" s="36" t="s">
        <v>184</v>
      </c>
      <c r="F29" s="60" t="s">
        <v>236</v>
      </c>
      <c r="G29" s="36" t="s">
        <v>186</v>
      </c>
      <c r="H29" s="41">
        <v>38.0</v>
      </c>
      <c r="I29" s="41">
        <f t="shared" si="1"/>
        <v>24</v>
      </c>
      <c r="J29" s="49" t="s">
        <v>76</v>
      </c>
      <c r="L29" s="5"/>
    </row>
    <row r="30" ht="63.75" customHeight="1">
      <c r="A30" s="65"/>
      <c r="B30" s="29">
        <v>25.0</v>
      </c>
      <c r="C30" s="41" t="s">
        <v>172</v>
      </c>
      <c r="D30" s="77" t="s">
        <v>239</v>
      </c>
      <c r="E30" s="60" t="s">
        <v>240</v>
      </c>
      <c r="F30" s="36" t="s">
        <v>242</v>
      </c>
      <c r="G30" s="60" t="s">
        <v>243</v>
      </c>
      <c r="H30" s="41">
        <v>39.0</v>
      </c>
      <c r="I30" s="41">
        <f t="shared" si="1"/>
        <v>25</v>
      </c>
      <c r="J30" s="49" t="s">
        <v>187</v>
      </c>
      <c r="L30" s="5"/>
    </row>
    <row r="31" ht="77.25" customHeight="1">
      <c r="A31" s="26"/>
      <c r="B31" s="29">
        <v>26.0</v>
      </c>
      <c r="C31" s="41" t="s">
        <v>172</v>
      </c>
      <c r="D31" s="54" t="s">
        <v>244</v>
      </c>
      <c r="E31" s="58" t="s">
        <v>245</v>
      </c>
      <c r="F31" s="60" t="s">
        <v>248</v>
      </c>
      <c r="G31" s="36" t="s">
        <v>192</v>
      </c>
      <c r="H31" s="41" t="s">
        <v>189</v>
      </c>
      <c r="I31" s="41">
        <f t="shared" si="1"/>
        <v>26</v>
      </c>
      <c r="J31" s="49" t="s">
        <v>51</v>
      </c>
      <c r="L31" s="5"/>
    </row>
    <row r="32" ht="42.75" customHeight="1">
      <c r="A32" s="65"/>
      <c r="B32" s="29">
        <v>27.0</v>
      </c>
      <c r="C32" s="41" t="s">
        <v>172</v>
      </c>
      <c r="D32" s="29" t="s">
        <v>194</v>
      </c>
      <c r="E32" s="36" t="s">
        <v>249</v>
      </c>
      <c r="F32" s="60" t="s">
        <v>250</v>
      </c>
      <c r="G32" s="36" t="s">
        <v>197</v>
      </c>
      <c r="H32" s="41" t="s">
        <v>194</v>
      </c>
      <c r="I32" s="41">
        <f t="shared" si="1"/>
        <v>27</v>
      </c>
      <c r="J32" s="49" t="s">
        <v>198</v>
      </c>
      <c r="L32" s="5"/>
    </row>
    <row r="33" ht="64.5" customHeight="1">
      <c r="A33" s="26"/>
      <c r="B33" s="29">
        <v>28.0</v>
      </c>
      <c r="C33" s="41" t="s">
        <v>172</v>
      </c>
      <c r="D33" s="83" t="s">
        <v>131</v>
      </c>
      <c r="E33" s="84" t="s">
        <v>257</v>
      </c>
      <c r="F33" s="36" t="s">
        <v>175</v>
      </c>
      <c r="G33" s="60" t="s">
        <v>57</v>
      </c>
      <c r="H33" s="62" t="s">
        <v>63</v>
      </c>
      <c r="I33" s="41">
        <f t="shared" si="1"/>
        <v>28</v>
      </c>
      <c r="J33" s="49" t="s">
        <v>207</v>
      </c>
      <c r="L33" s="5"/>
    </row>
    <row r="34" ht="85.5" customHeight="1">
      <c r="A34" s="65"/>
      <c r="B34" s="29">
        <v>29.0</v>
      </c>
      <c r="C34" s="41" t="s">
        <v>209</v>
      </c>
      <c r="D34" s="75" t="s">
        <v>210</v>
      </c>
      <c r="E34" s="36" t="s">
        <v>211</v>
      </c>
      <c r="F34" s="36" t="s">
        <v>94</v>
      </c>
      <c r="G34" s="60" t="s">
        <v>213</v>
      </c>
      <c r="H34" s="62" t="s">
        <v>63</v>
      </c>
      <c r="I34" s="41">
        <f t="shared" si="1"/>
        <v>29</v>
      </c>
      <c r="J34" s="49" t="s">
        <v>101</v>
      </c>
      <c r="K34" s="97"/>
      <c r="L34" s="5"/>
    </row>
    <row r="35" ht="81.0" customHeight="1">
      <c r="A35" s="26"/>
      <c r="B35" s="29">
        <v>30.0</v>
      </c>
      <c r="C35" s="41" t="s">
        <v>219</v>
      </c>
      <c r="D35" s="75" t="s">
        <v>220</v>
      </c>
      <c r="E35" s="36" t="s">
        <v>221</v>
      </c>
      <c r="F35" s="36" t="s">
        <v>113</v>
      </c>
      <c r="G35" s="60" t="s">
        <v>213</v>
      </c>
      <c r="H35" s="62" t="s">
        <v>63</v>
      </c>
      <c r="I35" s="41">
        <f t="shared" si="1"/>
        <v>30</v>
      </c>
      <c r="J35" s="49" t="s">
        <v>136</v>
      </c>
      <c r="L35" s="5"/>
    </row>
    <row r="36" ht="88.5" customHeight="1">
      <c r="A36" s="65"/>
      <c r="B36" s="29">
        <v>31.0</v>
      </c>
      <c r="C36" s="41" t="s">
        <v>226</v>
      </c>
      <c r="D36" s="29" t="s">
        <v>227</v>
      </c>
      <c r="E36" s="36" t="s">
        <v>228</v>
      </c>
      <c r="F36" s="36" t="s">
        <v>167</v>
      </c>
      <c r="G36" s="60" t="s">
        <v>213</v>
      </c>
      <c r="H36" s="62" t="s">
        <v>63</v>
      </c>
      <c r="I36" s="41">
        <f t="shared" si="1"/>
        <v>31</v>
      </c>
      <c r="J36" s="49" t="s">
        <v>170</v>
      </c>
      <c r="L36" s="5"/>
    </row>
    <row r="37" ht="89.25" customHeight="1">
      <c r="A37" s="26"/>
      <c r="B37" s="29">
        <v>32.0</v>
      </c>
      <c r="C37" s="41" t="s">
        <v>278</v>
      </c>
      <c r="D37" s="29" t="s">
        <v>280</v>
      </c>
      <c r="E37" s="36" t="s">
        <v>281</v>
      </c>
      <c r="F37" s="36" t="s">
        <v>175</v>
      </c>
      <c r="G37" s="60" t="s">
        <v>213</v>
      </c>
      <c r="H37" s="62" t="s">
        <v>63</v>
      </c>
      <c r="I37" s="41">
        <f t="shared" si="1"/>
        <v>32</v>
      </c>
      <c r="J37" s="49" t="s">
        <v>207</v>
      </c>
      <c r="L37" s="5"/>
    </row>
    <row r="38" ht="48.0" customHeight="1">
      <c r="A38" s="26"/>
      <c r="B38" s="29">
        <v>33.0</v>
      </c>
      <c r="C38" s="41" t="s">
        <v>232</v>
      </c>
      <c r="D38" s="83" t="s">
        <v>284</v>
      </c>
      <c r="E38" s="100" t="s">
        <v>285</v>
      </c>
      <c r="F38" s="11"/>
      <c r="G38" s="102" t="s">
        <v>289</v>
      </c>
      <c r="H38" s="62" t="s">
        <v>63</v>
      </c>
      <c r="I38" s="41">
        <f t="shared" si="1"/>
        <v>33</v>
      </c>
      <c r="J38" s="103"/>
      <c r="L38" s="5"/>
    </row>
    <row r="39" ht="44.25" customHeight="1">
      <c r="A39" s="65"/>
      <c r="B39" s="29">
        <v>34.0</v>
      </c>
      <c r="C39" s="41" t="s">
        <v>232</v>
      </c>
      <c r="D39" s="83" t="s">
        <v>284</v>
      </c>
      <c r="E39" s="100" t="s">
        <v>296</v>
      </c>
      <c r="F39" s="11"/>
      <c r="G39" s="102" t="s">
        <v>298</v>
      </c>
      <c r="H39" s="62" t="s">
        <v>63</v>
      </c>
      <c r="I39" s="41">
        <f t="shared" si="1"/>
        <v>34</v>
      </c>
      <c r="J39" s="103"/>
      <c r="L39" s="5"/>
    </row>
    <row r="40" ht="44.25" customHeight="1">
      <c r="A40" s="29"/>
      <c r="B40" s="29">
        <v>35.0</v>
      </c>
      <c r="C40" s="104" t="s">
        <v>238</v>
      </c>
      <c r="D40" s="106" t="s">
        <v>215</v>
      </c>
      <c r="E40" s="100" t="s">
        <v>304</v>
      </c>
      <c r="F40" s="11"/>
      <c r="G40" s="107" t="s">
        <v>306</v>
      </c>
      <c r="H40" s="41" t="s">
        <v>63</v>
      </c>
      <c r="I40" s="41" t="s">
        <v>63</v>
      </c>
      <c r="J40" s="103"/>
      <c r="L40" s="5"/>
    </row>
    <row r="41" ht="39.75" customHeight="1">
      <c r="A41" s="108"/>
      <c r="B41" s="29">
        <v>36.0</v>
      </c>
      <c r="C41" s="104" t="s">
        <v>238</v>
      </c>
      <c r="D41" s="17"/>
      <c r="E41" s="100" t="s">
        <v>308</v>
      </c>
      <c r="F41" s="11"/>
      <c r="G41" s="107" t="s">
        <v>306</v>
      </c>
      <c r="H41" s="41" t="s">
        <v>63</v>
      </c>
      <c r="I41" s="41" t="s">
        <v>63</v>
      </c>
      <c r="J41" s="103"/>
      <c r="L41" s="5"/>
    </row>
    <row r="42" ht="39.0" customHeight="1">
      <c r="A42" s="109" t="s">
        <v>313</v>
      </c>
      <c r="B42" s="110"/>
      <c r="C42" s="110"/>
      <c r="D42" s="110"/>
      <c r="E42" s="110"/>
      <c r="F42" s="110"/>
      <c r="G42" s="110"/>
      <c r="H42" s="110"/>
      <c r="I42" s="110"/>
      <c r="J42" s="111"/>
    </row>
    <row r="43" ht="51.0" customHeight="1">
      <c r="A43" s="65"/>
      <c r="B43" s="29">
        <v>37.0</v>
      </c>
      <c r="C43" s="41" t="s">
        <v>252</v>
      </c>
      <c r="D43" s="29" t="s">
        <v>253</v>
      </c>
      <c r="E43" s="36" t="s">
        <v>254</v>
      </c>
      <c r="F43" s="36" t="s">
        <v>255</v>
      </c>
      <c r="G43" s="36" t="s">
        <v>256</v>
      </c>
      <c r="H43" s="41" t="s">
        <v>253</v>
      </c>
      <c r="I43" s="41">
        <f t="shared" ref="I43:I72" si="2">B43</f>
        <v>37</v>
      </c>
      <c r="J43" s="41" t="s">
        <v>187</v>
      </c>
      <c r="L43" s="5"/>
    </row>
    <row r="44" ht="58.5" customHeight="1">
      <c r="A44" s="112"/>
      <c r="B44" s="29">
        <v>38.0</v>
      </c>
      <c r="C44" s="41" t="s">
        <v>252</v>
      </c>
      <c r="D44" s="29" t="s">
        <v>259</v>
      </c>
      <c r="E44" s="60" t="s">
        <v>333</v>
      </c>
      <c r="F44" s="36" t="s">
        <v>334</v>
      </c>
      <c r="G44" s="36" t="s">
        <v>262</v>
      </c>
      <c r="H44" s="41">
        <v>48.0</v>
      </c>
      <c r="I44" s="41">
        <f t="shared" si="2"/>
        <v>38</v>
      </c>
      <c r="J44" s="41" t="s">
        <v>74</v>
      </c>
      <c r="L44" s="5"/>
    </row>
    <row r="45" ht="58.5" customHeight="1">
      <c r="A45" s="108"/>
      <c r="B45" s="29">
        <v>39.0</v>
      </c>
      <c r="C45" s="41" t="s">
        <v>252</v>
      </c>
      <c r="D45" s="77" t="s">
        <v>341</v>
      </c>
      <c r="E45" s="60" t="s">
        <v>342</v>
      </c>
      <c r="F45" s="36" t="s">
        <v>334</v>
      </c>
      <c r="G45" s="36" t="s">
        <v>343</v>
      </c>
      <c r="H45" s="41">
        <v>49.0</v>
      </c>
      <c r="I45" s="41">
        <f t="shared" si="2"/>
        <v>39</v>
      </c>
      <c r="J45" s="41" t="s">
        <v>76</v>
      </c>
      <c r="L45" s="5"/>
    </row>
    <row r="46" ht="71.25" customHeight="1">
      <c r="A46" s="112"/>
      <c r="B46" s="29">
        <v>40.0</v>
      </c>
      <c r="C46" s="41" t="s">
        <v>252</v>
      </c>
      <c r="D46" s="54" t="s">
        <v>349</v>
      </c>
      <c r="E46" s="58" t="s">
        <v>351</v>
      </c>
      <c r="F46" s="60" t="s">
        <v>352</v>
      </c>
      <c r="G46" s="36" t="s">
        <v>268</v>
      </c>
      <c r="H46" s="41" t="s">
        <v>265</v>
      </c>
      <c r="I46" s="41">
        <f t="shared" si="2"/>
        <v>40</v>
      </c>
      <c r="J46" s="41" t="s">
        <v>51</v>
      </c>
      <c r="L46" s="5"/>
    </row>
    <row r="47" ht="76.5" customHeight="1">
      <c r="A47" s="86"/>
      <c r="B47" s="29">
        <v>41.0</v>
      </c>
      <c r="C47" s="41" t="s">
        <v>252</v>
      </c>
      <c r="D47" s="29" t="s">
        <v>270</v>
      </c>
      <c r="E47" s="36" t="s">
        <v>353</v>
      </c>
      <c r="F47" s="60" t="s">
        <v>354</v>
      </c>
      <c r="G47" s="36" t="s">
        <v>273</v>
      </c>
      <c r="H47" s="41" t="s">
        <v>270</v>
      </c>
      <c r="I47" s="41">
        <f t="shared" si="2"/>
        <v>41</v>
      </c>
      <c r="J47" s="41" t="s">
        <v>274</v>
      </c>
      <c r="L47" s="5"/>
    </row>
    <row r="48" ht="72.0" customHeight="1">
      <c r="A48" s="112"/>
      <c r="B48" s="29">
        <v>42.0</v>
      </c>
      <c r="C48" s="41" t="s">
        <v>252</v>
      </c>
      <c r="D48" s="83" t="s">
        <v>131</v>
      </c>
      <c r="E48" s="84" t="s">
        <v>359</v>
      </c>
      <c r="F48" s="36" t="s">
        <v>261</v>
      </c>
      <c r="G48" s="60" t="s">
        <v>57</v>
      </c>
      <c r="H48" s="29" t="s">
        <v>63</v>
      </c>
      <c r="I48" s="41">
        <f t="shared" si="2"/>
        <v>42</v>
      </c>
      <c r="J48" s="41" t="s">
        <v>279</v>
      </c>
      <c r="L48" s="5"/>
    </row>
    <row r="49" ht="78.0" customHeight="1">
      <c r="A49" s="112"/>
      <c r="B49" s="29">
        <v>43.0</v>
      </c>
      <c r="C49" s="41" t="s">
        <v>291</v>
      </c>
      <c r="D49" s="29" t="s">
        <v>292</v>
      </c>
      <c r="E49" s="36" t="s">
        <v>293</v>
      </c>
      <c r="F49" s="36" t="s">
        <v>294</v>
      </c>
      <c r="G49" s="36" t="s">
        <v>295</v>
      </c>
      <c r="H49" s="41" t="s">
        <v>292</v>
      </c>
      <c r="I49" s="41">
        <f t="shared" si="2"/>
        <v>43</v>
      </c>
      <c r="J49" s="41" t="s">
        <v>297</v>
      </c>
    </row>
    <row r="50" ht="85.5" customHeight="1">
      <c r="A50" s="86"/>
      <c r="B50" s="29">
        <v>44.0</v>
      </c>
      <c r="C50" s="67" t="s">
        <v>291</v>
      </c>
      <c r="D50" s="120" t="s">
        <v>300</v>
      </c>
      <c r="E50" s="70" t="s">
        <v>363</v>
      </c>
      <c r="F50" s="70" t="s">
        <v>302</v>
      </c>
      <c r="G50" s="70" t="s">
        <v>303</v>
      </c>
      <c r="H50" s="67">
        <v>56.0</v>
      </c>
      <c r="I50" s="41">
        <f t="shared" si="2"/>
        <v>44</v>
      </c>
      <c r="J50" s="67" t="s">
        <v>74</v>
      </c>
    </row>
    <row r="51" ht="85.5" customHeight="1">
      <c r="A51" s="112"/>
      <c r="B51" s="29">
        <v>45.0</v>
      </c>
      <c r="C51" s="67" t="s">
        <v>291</v>
      </c>
      <c r="D51" s="77" t="s">
        <v>364</v>
      </c>
      <c r="E51" s="70" t="s">
        <v>365</v>
      </c>
      <c r="F51" s="70" t="s">
        <v>302</v>
      </c>
      <c r="G51" s="70" t="s">
        <v>367</v>
      </c>
      <c r="H51" s="67">
        <v>57.0</v>
      </c>
      <c r="I51" s="41">
        <f t="shared" si="2"/>
        <v>45</v>
      </c>
      <c r="J51" s="67" t="s">
        <v>117</v>
      </c>
    </row>
    <row r="52" ht="90.0" customHeight="1">
      <c r="A52" s="86"/>
      <c r="B52" s="29">
        <v>46.0</v>
      </c>
      <c r="C52" s="41" t="s">
        <v>291</v>
      </c>
      <c r="D52" s="54" t="s">
        <v>369</v>
      </c>
      <c r="E52" s="58" t="s">
        <v>371</v>
      </c>
      <c r="F52" s="60" t="s">
        <v>373</v>
      </c>
      <c r="G52" s="36" t="s">
        <v>312</v>
      </c>
      <c r="H52" s="41" t="s">
        <v>309</v>
      </c>
      <c r="I52" s="41">
        <f t="shared" si="2"/>
        <v>46</v>
      </c>
      <c r="J52" s="41" t="s">
        <v>51</v>
      </c>
      <c r="L52" s="5"/>
    </row>
    <row r="53" ht="69.75" customHeight="1">
      <c r="A53" s="112"/>
      <c r="B53" s="29">
        <v>47.0</v>
      </c>
      <c r="C53" s="41" t="s">
        <v>291</v>
      </c>
      <c r="D53" s="29" t="s">
        <v>315</v>
      </c>
      <c r="E53" s="36" t="s">
        <v>375</v>
      </c>
      <c r="F53" s="60" t="s">
        <v>376</v>
      </c>
      <c r="G53" s="36" t="s">
        <v>317</v>
      </c>
      <c r="H53" s="41" t="s">
        <v>315</v>
      </c>
      <c r="I53" s="41">
        <f t="shared" si="2"/>
        <v>47</v>
      </c>
      <c r="J53" s="41" t="s">
        <v>318</v>
      </c>
      <c r="L53" s="5"/>
    </row>
    <row r="54" ht="66.0" customHeight="1">
      <c r="A54" s="86"/>
      <c r="B54" s="29">
        <v>48.0</v>
      </c>
      <c r="C54" s="41" t="s">
        <v>291</v>
      </c>
      <c r="D54" s="83" t="s">
        <v>131</v>
      </c>
      <c r="E54" s="84" t="s">
        <v>380</v>
      </c>
      <c r="F54" s="70" t="s">
        <v>302</v>
      </c>
      <c r="G54" s="60" t="s">
        <v>57</v>
      </c>
      <c r="H54" s="29" t="s">
        <v>63</v>
      </c>
      <c r="I54" s="41">
        <f t="shared" si="2"/>
        <v>48</v>
      </c>
      <c r="J54" s="41" t="s">
        <v>322</v>
      </c>
      <c r="L54" s="5"/>
    </row>
    <row r="55" ht="67.5" customHeight="1">
      <c r="A55" s="108"/>
      <c r="B55" s="29">
        <v>49.0</v>
      </c>
      <c r="C55" s="41" t="s">
        <v>328</v>
      </c>
      <c r="D55" s="29" t="s">
        <v>329</v>
      </c>
      <c r="E55" s="36" t="s">
        <v>330</v>
      </c>
      <c r="F55" s="36" t="s">
        <v>331</v>
      </c>
      <c r="G55" s="36" t="s">
        <v>332</v>
      </c>
      <c r="H55" s="41" t="s">
        <v>329</v>
      </c>
      <c r="I55" s="41">
        <f t="shared" si="2"/>
        <v>49</v>
      </c>
      <c r="J55" s="41" t="s">
        <v>74</v>
      </c>
      <c r="L55" s="5"/>
    </row>
    <row r="56" ht="60.0" customHeight="1">
      <c r="A56" s="29"/>
      <c r="B56" s="29">
        <v>50.0</v>
      </c>
      <c r="C56" s="41" t="s">
        <v>328</v>
      </c>
      <c r="D56" s="29" t="s">
        <v>336</v>
      </c>
      <c r="E56" s="36" t="s">
        <v>389</v>
      </c>
      <c r="F56" s="36" t="s">
        <v>338</v>
      </c>
      <c r="G56" s="36" t="s">
        <v>339</v>
      </c>
      <c r="H56" s="41">
        <v>66.0</v>
      </c>
      <c r="I56" s="41">
        <f t="shared" si="2"/>
        <v>50</v>
      </c>
      <c r="J56" s="41" t="s">
        <v>76</v>
      </c>
      <c r="L56" s="5"/>
    </row>
    <row r="57" ht="60.0" customHeight="1">
      <c r="A57" s="108"/>
      <c r="B57" s="29">
        <v>51.0</v>
      </c>
      <c r="C57" s="41" t="s">
        <v>328</v>
      </c>
      <c r="D57" s="77" t="s">
        <v>392</v>
      </c>
      <c r="E57" s="36" t="s">
        <v>394</v>
      </c>
      <c r="F57" s="36" t="s">
        <v>338</v>
      </c>
      <c r="G57" s="36" t="s">
        <v>397</v>
      </c>
      <c r="H57" s="41">
        <v>67.0</v>
      </c>
      <c r="I57" s="41">
        <f t="shared" si="2"/>
        <v>51</v>
      </c>
      <c r="J57" s="41" t="s">
        <v>117</v>
      </c>
      <c r="L57" s="5"/>
    </row>
    <row r="58" ht="70.5" customHeight="1">
      <c r="A58" s="29"/>
      <c r="B58" s="29">
        <v>52.0</v>
      </c>
      <c r="C58" s="41" t="s">
        <v>328</v>
      </c>
      <c r="D58" s="54" t="s">
        <v>404</v>
      </c>
      <c r="E58" s="58" t="s">
        <v>406</v>
      </c>
      <c r="F58" s="60" t="s">
        <v>412</v>
      </c>
      <c r="G58" s="36" t="s">
        <v>348</v>
      </c>
      <c r="H58" s="41" t="s">
        <v>345</v>
      </c>
      <c r="I58" s="41">
        <f t="shared" si="2"/>
        <v>52</v>
      </c>
      <c r="J58" s="41" t="s">
        <v>51</v>
      </c>
      <c r="L58" s="5"/>
    </row>
    <row r="59" ht="70.5" customHeight="1">
      <c r="A59" s="108"/>
      <c r="B59" s="29">
        <v>53.0</v>
      </c>
      <c r="C59" s="41" t="s">
        <v>328</v>
      </c>
      <c r="D59" s="29" t="s">
        <v>355</v>
      </c>
      <c r="E59" s="36" t="s">
        <v>415</v>
      </c>
      <c r="F59" s="60" t="s">
        <v>416</v>
      </c>
      <c r="G59" s="36" t="s">
        <v>358</v>
      </c>
      <c r="H59" s="41" t="s">
        <v>355</v>
      </c>
      <c r="I59" s="41">
        <f t="shared" si="2"/>
        <v>53</v>
      </c>
      <c r="J59" s="41" t="s">
        <v>360</v>
      </c>
      <c r="L59" s="5"/>
    </row>
    <row r="60" ht="60.0" customHeight="1">
      <c r="A60" s="29"/>
      <c r="B60" s="29">
        <v>54.0</v>
      </c>
      <c r="C60" s="41" t="s">
        <v>328</v>
      </c>
      <c r="D60" s="83" t="s">
        <v>131</v>
      </c>
      <c r="E60" s="84" t="s">
        <v>421</v>
      </c>
      <c r="F60" s="36" t="s">
        <v>422</v>
      </c>
      <c r="G60" s="60" t="s">
        <v>57</v>
      </c>
      <c r="H60" s="29" t="s">
        <v>63</v>
      </c>
      <c r="I60" s="41">
        <f t="shared" si="2"/>
        <v>54</v>
      </c>
      <c r="J60" s="41" t="s">
        <v>368</v>
      </c>
      <c r="L60" s="5"/>
    </row>
    <row r="61" ht="72.75" customHeight="1">
      <c r="A61" s="29"/>
      <c r="B61" s="29">
        <v>55.0</v>
      </c>
      <c r="C61" s="41" t="s">
        <v>378</v>
      </c>
      <c r="D61" s="29" t="s">
        <v>379</v>
      </c>
      <c r="E61" s="60" t="s">
        <v>425</v>
      </c>
      <c r="F61" s="36" t="s">
        <v>382</v>
      </c>
      <c r="G61" s="36" t="s">
        <v>295</v>
      </c>
      <c r="H61" s="41" t="s">
        <v>379</v>
      </c>
      <c r="I61" s="41">
        <f t="shared" si="2"/>
        <v>55</v>
      </c>
      <c r="J61" s="41" t="s">
        <v>115</v>
      </c>
      <c r="L61" s="5"/>
    </row>
    <row r="62" ht="81.75" customHeight="1">
      <c r="A62" s="108"/>
      <c r="B62" s="29">
        <v>56.0</v>
      </c>
      <c r="C62" s="41" t="s">
        <v>378</v>
      </c>
      <c r="D62" s="29" t="s">
        <v>384</v>
      </c>
      <c r="E62" s="58" t="s">
        <v>431</v>
      </c>
      <c r="F62" s="36" t="s">
        <v>385</v>
      </c>
      <c r="G62" s="36" t="s">
        <v>437</v>
      </c>
      <c r="H62" s="41">
        <v>74.0</v>
      </c>
      <c r="I62" s="41">
        <f t="shared" si="2"/>
        <v>56</v>
      </c>
      <c r="J62" s="41" t="s">
        <v>387</v>
      </c>
      <c r="L62" s="5"/>
    </row>
    <row r="63" ht="79.5" customHeight="1">
      <c r="A63" s="29"/>
      <c r="B63" s="29">
        <v>57.0</v>
      </c>
      <c r="C63" s="41" t="s">
        <v>378</v>
      </c>
      <c r="D63" s="77" t="s">
        <v>439</v>
      </c>
      <c r="E63" s="36" t="s">
        <v>440</v>
      </c>
      <c r="F63" s="36" t="s">
        <v>441</v>
      </c>
      <c r="G63" s="36" t="s">
        <v>442</v>
      </c>
      <c r="H63" s="41">
        <v>75.0</v>
      </c>
      <c r="I63" s="41">
        <f t="shared" si="2"/>
        <v>57</v>
      </c>
      <c r="J63" s="41" t="s">
        <v>76</v>
      </c>
      <c r="L63" s="5"/>
    </row>
    <row r="64" ht="79.5" customHeight="1">
      <c r="A64" s="108"/>
      <c r="B64" s="29">
        <v>58.0</v>
      </c>
      <c r="C64" s="41" t="s">
        <v>378</v>
      </c>
      <c r="D64" s="54" t="s">
        <v>444</v>
      </c>
      <c r="E64" s="58" t="s">
        <v>445</v>
      </c>
      <c r="F64" s="36" t="s">
        <v>447</v>
      </c>
      <c r="G64" s="36" t="s">
        <v>398</v>
      </c>
      <c r="H64" s="41" t="s">
        <v>393</v>
      </c>
      <c r="I64" s="41">
        <f t="shared" si="2"/>
        <v>58</v>
      </c>
      <c r="J64" s="41" t="s">
        <v>51</v>
      </c>
      <c r="L64" s="5"/>
    </row>
    <row r="65" ht="55.5" customHeight="1">
      <c r="A65" s="29"/>
      <c r="B65" s="29">
        <v>59.0</v>
      </c>
      <c r="C65" s="41" t="s">
        <v>378</v>
      </c>
      <c r="D65" s="29" t="s">
        <v>400</v>
      </c>
      <c r="E65" s="60" t="s">
        <v>449</v>
      </c>
      <c r="F65" s="60" t="s">
        <v>450</v>
      </c>
      <c r="G65" s="36" t="s">
        <v>402</v>
      </c>
      <c r="H65" s="41" t="s">
        <v>400</v>
      </c>
      <c r="I65" s="41">
        <f t="shared" si="2"/>
        <v>59</v>
      </c>
      <c r="J65" s="41" t="s">
        <v>403</v>
      </c>
      <c r="L65" s="5"/>
    </row>
    <row r="66" ht="54.0" customHeight="1">
      <c r="A66" s="108"/>
      <c r="B66" s="29">
        <v>60.0</v>
      </c>
      <c r="C66" s="41" t="s">
        <v>378</v>
      </c>
      <c r="D66" s="83" t="s">
        <v>131</v>
      </c>
      <c r="E66" s="84" t="s">
        <v>453</v>
      </c>
      <c r="F66" s="36" t="s">
        <v>385</v>
      </c>
      <c r="G66" s="60" t="s">
        <v>57</v>
      </c>
      <c r="H66" s="29" t="s">
        <v>63</v>
      </c>
      <c r="I66" s="41">
        <f t="shared" si="2"/>
        <v>60</v>
      </c>
      <c r="J66" s="41" t="s">
        <v>409</v>
      </c>
      <c r="L66" s="5"/>
    </row>
    <row r="67" ht="45.0" customHeight="1">
      <c r="A67" s="108"/>
      <c r="B67" s="29">
        <v>61.0</v>
      </c>
      <c r="C67" s="32" t="s">
        <v>418</v>
      </c>
      <c r="D67" s="29" t="s">
        <v>419</v>
      </c>
      <c r="E67" s="36" t="s">
        <v>420</v>
      </c>
      <c r="F67" s="36" t="s">
        <v>261</v>
      </c>
      <c r="G67" s="60" t="s">
        <v>423</v>
      </c>
      <c r="H67" s="62" t="s">
        <v>63</v>
      </c>
      <c r="I67" s="41">
        <f t="shared" si="2"/>
        <v>61</v>
      </c>
      <c r="J67" s="41" t="s">
        <v>279</v>
      </c>
      <c r="K67" s="97"/>
      <c r="L67" s="145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</row>
    <row r="68" ht="74.25" customHeight="1">
      <c r="A68" s="29"/>
      <c r="B68" s="29">
        <v>62.0</v>
      </c>
      <c r="C68" s="32" t="s">
        <v>427</v>
      </c>
      <c r="D68" s="29" t="s">
        <v>428</v>
      </c>
      <c r="E68" s="36" t="s">
        <v>429</v>
      </c>
      <c r="F68" s="70" t="s">
        <v>302</v>
      </c>
      <c r="G68" s="60" t="s">
        <v>423</v>
      </c>
      <c r="H68" s="62" t="s">
        <v>63</v>
      </c>
      <c r="I68" s="41">
        <f t="shared" si="2"/>
        <v>62</v>
      </c>
      <c r="J68" s="41" t="s">
        <v>322</v>
      </c>
      <c r="K68" s="97"/>
      <c r="L68" s="145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</row>
    <row r="69" ht="60.0" customHeight="1">
      <c r="A69" s="108"/>
      <c r="B69" s="29">
        <v>63.0</v>
      </c>
      <c r="C69" s="32" t="s">
        <v>433</v>
      </c>
      <c r="D69" s="29" t="s">
        <v>434</v>
      </c>
      <c r="E69" s="36" t="s">
        <v>435</v>
      </c>
      <c r="F69" s="36" t="s">
        <v>338</v>
      </c>
      <c r="G69" s="60" t="s">
        <v>423</v>
      </c>
      <c r="H69" s="62" t="s">
        <v>63</v>
      </c>
      <c r="I69" s="41">
        <f t="shared" si="2"/>
        <v>63</v>
      </c>
      <c r="J69" s="41" t="s">
        <v>368</v>
      </c>
      <c r="K69" s="97"/>
      <c r="L69" s="145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</row>
    <row r="70" ht="57.75" customHeight="1">
      <c r="A70" s="29"/>
      <c r="B70" s="29">
        <v>64.0</v>
      </c>
      <c r="C70" s="32" t="s">
        <v>459</v>
      </c>
      <c r="D70" s="29" t="s">
        <v>460</v>
      </c>
      <c r="E70" s="36" t="s">
        <v>461</v>
      </c>
      <c r="F70" s="36" t="s">
        <v>385</v>
      </c>
      <c r="G70" s="60" t="s">
        <v>423</v>
      </c>
      <c r="H70" s="62" t="s">
        <v>63</v>
      </c>
      <c r="I70" s="41">
        <f t="shared" si="2"/>
        <v>64</v>
      </c>
      <c r="J70" s="41" t="s">
        <v>409</v>
      </c>
      <c r="K70" s="97"/>
      <c r="L70" s="145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</row>
    <row r="71" ht="48.75" customHeight="1">
      <c r="A71" s="29"/>
      <c r="B71" s="29">
        <v>65.0</v>
      </c>
      <c r="C71" s="41" t="s">
        <v>232</v>
      </c>
      <c r="D71" s="154" t="s">
        <v>462</v>
      </c>
      <c r="E71" s="100" t="s">
        <v>463</v>
      </c>
      <c r="F71" s="11"/>
      <c r="G71" s="102" t="s">
        <v>289</v>
      </c>
      <c r="H71" s="62" t="s">
        <v>63</v>
      </c>
      <c r="I71" s="41">
        <f t="shared" si="2"/>
        <v>65</v>
      </c>
      <c r="J71" s="156"/>
      <c r="K71" s="97"/>
      <c r="L71" s="145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</row>
    <row r="72" ht="63.75" customHeight="1">
      <c r="A72" s="108"/>
      <c r="B72" s="29">
        <v>66.0</v>
      </c>
      <c r="C72" s="41" t="s">
        <v>232</v>
      </c>
      <c r="D72" s="154" t="s">
        <v>462</v>
      </c>
      <c r="E72" s="100" t="s">
        <v>464</v>
      </c>
      <c r="F72" s="11"/>
      <c r="G72" s="102" t="s">
        <v>298</v>
      </c>
      <c r="H72" s="62" t="s">
        <v>63</v>
      </c>
      <c r="I72" s="41">
        <f t="shared" si="2"/>
        <v>66</v>
      </c>
      <c r="J72" s="156"/>
      <c r="K72" s="97"/>
      <c r="L72" s="145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</row>
    <row r="73" ht="39.75" customHeight="1">
      <c r="A73" s="29"/>
      <c r="B73" s="29">
        <v>67.0</v>
      </c>
      <c r="C73" s="41" t="s">
        <v>238</v>
      </c>
      <c r="D73" s="106" t="s">
        <v>215</v>
      </c>
      <c r="E73" s="100" t="s">
        <v>465</v>
      </c>
      <c r="F73" s="11"/>
      <c r="G73" s="107" t="s">
        <v>306</v>
      </c>
      <c r="H73" s="41" t="s">
        <v>63</v>
      </c>
      <c r="I73" s="41" t="s">
        <v>63</v>
      </c>
      <c r="J73" s="156"/>
      <c r="K73" s="97"/>
      <c r="L73" s="145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</row>
    <row r="74" ht="42.75" customHeight="1">
      <c r="A74" s="108"/>
      <c r="B74" s="29">
        <v>68.0</v>
      </c>
      <c r="C74" s="41" t="s">
        <v>238</v>
      </c>
      <c r="D74" s="17"/>
      <c r="E74" s="100" t="s">
        <v>466</v>
      </c>
      <c r="F74" s="11"/>
      <c r="G74" s="107" t="s">
        <v>306</v>
      </c>
      <c r="H74" s="41" t="s">
        <v>63</v>
      </c>
      <c r="I74" s="41" t="s">
        <v>63</v>
      </c>
      <c r="J74" s="156"/>
      <c r="K74" s="97"/>
      <c r="L74" s="145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</row>
    <row r="75" ht="17.25" customHeight="1">
      <c r="L75" s="5"/>
    </row>
    <row r="76" ht="21.75" customHeight="1">
      <c r="L76" s="5"/>
    </row>
    <row r="77" ht="14.25" customHeight="1">
      <c r="L77" s="5"/>
    </row>
    <row r="78" ht="14.25" customHeight="1">
      <c r="L78" s="5"/>
    </row>
    <row r="79" ht="14.25" customHeight="1">
      <c r="L79" s="5"/>
    </row>
    <row r="80" ht="14.25" customHeight="1">
      <c r="L80" s="5"/>
    </row>
    <row r="81" ht="14.25" customHeight="1">
      <c r="L81" s="5"/>
    </row>
    <row r="82" ht="14.25" customHeight="1">
      <c r="L82" s="5"/>
    </row>
    <row r="83" ht="14.25" customHeight="1">
      <c r="L83" s="5"/>
    </row>
    <row r="84" ht="14.25" customHeight="1">
      <c r="L84" s="5"/>
    </row>
    <row r="85" ht="14.25" customHeight="1">
      <c r="L85" s="5"/>
    </row>
    <row r="86" ht="14.25" customHeight="1">
      <c r="L86" s="5"/>
    </row>
    <row r="87" ht="14.25" customHeight="1">
      <c r="L87" s="5"/>
    </row>
    <row r="88" ht="14.25" customHeight="1">
      <c r="L88" s="5"/>
    </row>
    <row r="89" ht="14.25" customHeight="1">
      <c r="L89" s="5"/>
    </row>
    <row r="90" ht="14.25" customHeight="1">
      <c r="L90" s="5"/>
    </row>
    <row r="91" ht="14.25" customHeight="1">
      <c r="L91" s="5"/>
    </row>
    <row r="92" ht="14.25" customHeight="1">
      <c r="L92" s="5"/>
    </row>
    <row r="93" ht="14.25" customHeight="1">
      <c r="L93" s="5"/>
    </row>
    <row r="94" ht="14.25" customHeight="1">
      <c r="L94" s="5"/>
    </row>
    <row r="95" ht="14.25" customHeight="1">
      <c r="L95" s="5"/>
    </row>
    <row r="96" ht="14.25" customHeight="1">
      <c r="L96" s="5"/>
    </row>
    <row r="97" ht="14.25" customHeight="1">
      <c r="A97" s="155"/>
      <c r="B97" s="155"/>
      <c r="C97" s="155"/>
      <c r="D97" s="155"/>
      <c r="I97" s="155"/>
      <c r="J97" s="155"/>
      <c r="L97" s="5"/>
    </row>
    <row r="98" ht="14.25" customHeight="1">
      <c r="A98" s="155"/>
      <c r="B98" s="155"/>
      <c r="C98" s="155"/>
      <c r="D98" s="155"/>
      <c r="I98" s="155"/>
      <c r="J98" s="155"/>
      <c r="L98" s="5"/>
    </row>
    <row r="99" ht="14.25" customHeight="1">
      <c r="A99" s="155"/>
      <c r="B99" s="155"/>
      <c r="C99" s="155"/>
      <c r="D99" s="155"/>
      <c r="I99" s="155"/>
      <c r="J99" s="155"/>
      <c r="L99" s="5"/>
    </row>
    <row r="100" ht="14.25" customHeight="1">
      <c r="A100" s="155"/>
      <c r="B100" s="155"/>
      <c r="C100" s="155"/>
      <c r="D100" s="155"/>
      <c r="I100" s="155"/>
      <c r="J100" s="155"/>
      <c r="L100" s="5"/>
    </row>
    <row r="101" ht="14.25" customHeight="1">
      <c r="A101" s="155"/>
      <c r="B101" s="155"/>
      <c r="C101" s="155"/>
      <c r="D101" s="155"/>
      <c r="I101" s="155"/>
      <c r="J101" s="155"/>
      <c r="L101" s="5"/>
    </row>
    <row r="102" ht="14.25" customHeight="1">
      <c r="A102" s="155"/>
      <c r="B102" s="155"/>
      <c r="C102" s="155"/>
      <c r="D102" s="155"/>
      <c r="I102" s="155"/>
      <c r="J102" s="155"/>
      <c r="L102" s="5"/>
    </row>
    <row r="103" ht="14.25" customHeight="1">
      <c r="A103" s="155"/>
      <c r="B103" s="155"/>
      <c r="C103" s="155"/>
      <c r="D103" s="155"/>
      <c r="I103" s="155"/>
      <c r="J103" s="155"/>
      <c r="L103" s="5"/>
    </row>
    <row r="104" ht="14.25" customHeight="1">
      <c r="A104" s="155"/>
      <c r="B104" s="155"/>
      <c r="C104" s="155"/>
      <c r="D104" s="155"/>
      <c r="I104" s="155"/>
      <c r="J104" s="155"/>
      <c r="L104" s="5"/>
    </row>
    <row r="105" ht="14.25" customHeight="1">
      <c r="A105" s="155"/>
      <c r="B105" s="155"/>
      <c r="C105" s="155"/>
      <c r="D105" s="155"/>
      <c r="I105" s="155"/>
      <c r="J105" s="155"/>
      <c r="L105" s="5"/>
    </row>
    <row r="106" ht="14.25" customHeight="1">
      <c r="A106" s="155"/>
      <c r="B106" s="155"/>
      <c r="C106" s="155"/>
      <c r="D106" s="155"/>
      <c r="I106" s="155"/>
      <c r="J106" s="155"/>
      <c r="L106" s="5"/>
    </row>
    <row r="107" ht="14.25" customHeight="1">
      <c r="A107" s="155"/>
      <c r="B107" s="155"/>
      <c r="C107" s="155"/>
      <c r="D107" s="155"/>
      <c r="I107" s="155"/>
      <c r="J107" s="155"/>
      <c r="L107" s="5"/>
    </row>
    <row r="108" ht="14.25" customHeight="1">
      <c r="A108" s="155"/>
      <c r="B108" s="155"/>
      <c r="C108" s="155"/>
      <c r="D108" s="155"/>
      <c r="I108" s="155"/>
      <c r="J108" s="155"/>
      <c r="L108" s="5"/>
    </row>
    <row r="109" ht="14.25" customHeight="1">
      <c r="A109" s="155"/>
      <c r="B109" s="155"/>
      <c r="C109" s="155"/>
      <c r="D109" s="155"/>
      <c r="I109" s="155"/>
      <c r="J109" s="155"/>
      <c r="L109" s="5"/>
    </row>
    <row r="110" ht="14.25" customHeight="1">
      <c r="A110" s="155"/>
      <c r="B110" s="155"/>
      <c r="C110" s="155"/>
      <c r="D110" s="155"/>
      <c r="I110" s="155"/>
      <c r="J110" s="155"/>
      <c r="L110" s="5"/>
    </row>
    <row r="111" ht="14.25" customHeight="1">
      <c r="A111" s="155"/>
      <c r="B111" s="155"/>
      <c r="C111" s="155"/>
      <c r="D111" s="155"/>
      <c r="I111" s="155"/>
      <c r="J111" s="155"/>
      <c r="L111" s="5"/>
    </row>
    <row r="112" ht="14.25" customHeight="1">
      <c r="A112" s="155"/>
      <c r="B112" s="155"/>
      <c r="C112" s="155"/>
      <c r="D112" s="155"/>
      <c r="I112" s="155"/>
      <c r="J112" s="155"/>
      <c r="L112" s="5"/>
    </row>
    <row r="113" ht="14.25" customHeight="1">
      <c r="A113" s="155"/>
      <c r="B113" s="155"/>
      <c r="C113" s="155"/>
      <c r="D113" s="155"/>
      <c r="I113" s="155"/>
      <c r="J113" s="155"/>
      <c r="L113" s="5"/>
    </row>
    <row r="114" ht="14.25" customHeight="1">
      <c r="A114" s="155"/>
      <c r="B114" s="155"/>
      <c r="C114" s="155"/>
      <c r="D114" s="155"/>
      <c r="I114" s="155"/>
      <c r="J114" s="155"/>
      <c r="L114" s="5"/>
    </row>
    <row r="115" ht="14.25" customHeight="1">
      <c r="A115" s="155"/>
      <c r="B115" s="155"/>
      <c r="C115" s="155"/>
      <c r="D115" s="155"/>
      <c r="I115" s="155"/>
      <c r="J115" s="155"/>
      <c r="L115" s="5"/>
    </row>
    <row r="116" ht="14.25" customHeight="1">
      <c r="A116" s="155"/>
      <c r="B116" s="155"/>
      <c r="C116" s="155"/>
      <c r="D116" s="155"/>
      <c r="I116" s="155"/>
      <c r="J116" s="155"/>
      <c r="L116" s="5"/>
    </row>
    <row r="117" ht="14.25" customHeight="1">
      <c r="A117" s="155"/>
      <c r="B117" s="155"/>
      <c r="C117" s="155"/>
      <c r="D117" s="155"/>
      <c r="I117" s="155"/>
      <c r="J117" s="155"/>
      <c r="L117" s="5"/>
    </row>
    <row r="118" ht="14.25" customHeight="1">
      <c r="A118" s="155"/>
      <c r="B118" s="155"/>
      <c r="C118" s="155"/>
      <c r="D118" s="155"/>
      <c r="I118" s="155"/>
      <c r="J118" s="155"/>
      <c r="L118" s="5"/>
    </row>
    <row r="119" ht="14.25" customHeight="1">
      <c r="A119" s="155"/>
      <c r="B119" s="155"/>
      <c r="C119" s="155"/>
      <c r="D119" s="155"/>
      <c r="I119" s="155"/>
      <c r="J119" s="155"/>
      <c r="L119" s="5"/>
    </row>
    <row r="120" ht="14.25" customHeight="1">
      <c r="A120" s="155"/>
      <c r="B120" s="155"/>
      <c r="C120" s="155"/>
      <c r="D120" s="155"/>
      <c r="I120" s="155"/>
      <c r="J120" s="155"/>
      <c r="L120" s="5"/>
    </row>
    <row r="121" ht="14.25" customHeight="1">
      <c r="A121" s="155"/>
      <c r="B121" s="155"/>
      <c r="C121" s="155"/>
      <c r="D121" s="155"/>
      <c r="I121" s="155"/>
      <c r="J121" s="155"/>
      <c r="L121" s="5"/>
    </row>
    <row r="122" ht="14.25" customHeight="1">
      <c r="A122" s="155"/>
      <c r="B122" s="155"/>
      <c r="C122" s="155"/>
      <c r="D122" s="155"/>
      <c r="I122" s="155"/>
      <c r="J122" s="155"/>
      <c r="L122" s="5"/>
    </row>
    <row r="123" ht="14.25" customHeight="1">
      <c r="A123" s="155"/>
      <c r="B123" s="155"/>
      <c r="C123" s="155"/>
      <c r="D123" s="155"/>
      <c r="I123" s="155"/>
      <c r="J123" s="155"/>
      <c r="L123" s="5"/>
    </row>
    <row r="124" ht="14.25" customHeight="1">
      <c r="A124" s="155"/>
      <c r="B124" s="155"/>
      <c r="C124" s="155"/>
      <c r="D124" s="155"/>
      <c r="I124" s="155"/>
      <c r="J124" s="155"/>
      <c r="L124" s="5"/>
    </row>
    <row r="125" ht="14.25" customHeight="1">
      <c r="A125" s="155"/>
      <c r="B125" s="155"/>
      <c r="C125" s="155"/>
      <c r="D125" s="155"/>
      <c r="I125" s="155"/>
      <c r="J125" s="155"/>
      <c r="L125" s="5"/>
    </row>
    <row r="126" ht="14.25" customHeight="1">
      <c r="A126" s="155"/>
      <c r="B126" s="155"/>
      <c r="C126" s="155"/>
      <c r="D126" s="155"/>
      <c r="I126" s="155"/>
      <c r="J126" s="155"/>
      <c r="L126" s="5"/>
    </row>
    <row r="127" ht="14.25" customHeight="1">
      <c r="A127" s="155"/>
      <c r="B127" s="155"/>
      <c r="C127" s="155"/>
      <c r="D127" s="155"/>
      <c r="I127" s="155"/>
      <c r="J127" s="155"/>
      <c r="L127" s="5"/>
    </row>
    <row r="128" ht="14.25" customHeight="1">
      <c r="A128" s="155"/>
      <c r="B128" s="155"/>
      <c r="C128" s="155"/>
      <c r="D128" s="155"/>
      <c r="I128" s="155"/>
      <c r="J128" s="155"/>
      <c r="L128" s="5"/>
    </row>
    <row r="129" ht="14.25" customHeight="1">
      <c r="A129" s="155"/>
      <c r="B129" s="155"/>
      <c r="C129" s="155"/>
      <c r="D129" s="155"/>
      <c r="I129" s="155"/>
      <c r="J129" s="155"/>
      <c r="L129" s="5"/>
    </row>
    <row r="130" ht="14.25" customHeight="1">
      <c r="A130" s="155"/>
      <c r="B130" s="155"/>
      <c r="C130" s="155"/>
      <c r="D130" s="155"/>
      <c r="I130" s="155"/>
      <c r="J130" s="155"/>
      <c r="L130" s="5"/>
    </row>
    <row r="131" ht="14.25" customHeight="1">
      <c r="A131" s="155"/>
      <c r="B131" s="155"/>
      <c r="C131" s="155"/>
      <c r="D131" s="155"/>
      <c r="I131" s="155"/>
      <c r="J131" s="155"/>
      <c r="L131" s="5"/>
    </row>
    <row r="132" ht="14.25" customHeight="1">
      <c r="A132" s="155"/>
      <c r="B132" s="155"/>
      <c r="C132" s="155"/>
      <c r="D132" s="155"/>
      <c r="I132" s="155"/>
      <c r="J132" s="155"/>
      <c r="L132" s="5"/>
    </row>
    <row r="133" ht="14.25" customHeight="1">
      <c r="A133" s="155"/>
      <c r="B133" s="155"/>
      <c r="C133" s="155"/>
      <c r="D133" s="155"/>
      <c r="I133" s="155"/>
      <c r="J133" s="155"/>
      <c r="L133" s="5"/>
    </row>
    <row r="134" ht="14.25" customHeight="1">
      <c r="A134" s="155"/>
      <c r="B134" s="155"/>
      <c r="C134" s="155"/>
      <c r="D134" s="155"/>
      <c r="I134" s="155"/>
      <c r="J134" s="155"/>
      <c r="L134" s="5"/>
    </row>
    <row r="135" ht="14.25" customHeight="1">
      <c r="A135" s="155"/>
      <c r="B135" s="155"/>
      <c r="C135" s="155"/>
      <c r="D135" s="155"/>
      <c r="I135" s="155"/>
      <c r="J135" s="155"/>
      <c r="L135" s="5"/>
    </row>
    <row r="136" ht="14.25" customHeight="1">
      <c r="A136" s="155"/>
      <c r="B136" s="155"/>
      <c r="C136" s="155"/>
      <c r="D136" s="155"/>
      <c r="I136" s="155"/>
      <c r="J136" s="155"/>
      <c r="L136" s="5"/>
    </row>
    <row r="137" ht="14.25" customHeight="1">
      <c r="A137" s="155"/>
      <c r="B137" s="155"/>
      <c r="C137" s="155"/>
      <c r="D137" s="155"/>
      <c r="I137" s="155"/>
      <c r="J137" s="155"/>
      <c r="L137" s="5"/>
    </row>
    <row r="138" ht="14.25" customHeight="1">
      <c r="A138" s="155"/>
      <c r="B138" s="155"/>
      <c r="C138" s="155"/>
      <c r="D138" s="155"/>
      <c r="I138" s="155"/>
      <c r="J138" s="155"/>
      <c r="L138" s="5"/>
    </row>
    <row r="139" ht="14.25" customHeight="1">
      <c r="A139" s="155"/>
      <c r="B139" s="155"/>
      <c r="C139" s="155"/>
      <c r="D139" s="155"/>
      <c r="I139" s="155"/>
      <c r="J139" s="155"/>
      <c r="L139" s="5"/>
    </row>
    <row r="140" ht="14.25" customHeight="1">
      <c r="A140" s="155"/>
      <c r="B140" s="155"/>
      <c r="C140" s="155"/>
      <c r="D140" s="155"/>
      <c r="I140" s="155"/>
      <c r="J140" s="155"/>
      <c r="L140" s="5"/>
    </row>
    <row r="141" ht="14.25" customHeight="1">
      <c r="A141" s="155"/>
      <c r="B141" s="155"/>
      <c r="C141" s="155"/>
      <c r="D141" s="155"/>
      <c r="I141" s="155"/>
      <c r="J141" s="155"/>
      <c r="L141" s="5"/>
    </row>
    <row r="142" ht="14.25" customHeight="1">
      <c r="A142" s="155"/>
      <c r="B142" s="155"/>
      <c r="C142" s="155"/>
      <c r="D142" s="155"/>
      <c r="I142" s="155"/>
      <c r="J142" s="155"/>
      <c r="L142" s="5"/>
    </row>
    <row r="143" ht="14.25" customHeight="1">
      <c r="A143" s="155"/>
      <c r="B143" s="155"/>
      <c r="C143" s="155"/>
      <c r="D143" s="155"/>
      <c r="I143" s="155"/>
      <c r="J143" s="155"/>
      <c r="L143" s="5"/>
    </row>
    <row r="144" ht="14.25" customHeight="1">
      <c r="A144" s="155"/>
      <c r="B144" s="155"/>
      <c r="C144" s="155"/>
      <c r="D144" s="155"/>
      <c r="I144" s="155"/>
      <c r="J144" s="155"/>
      <c r="L144" s="5"/>
    </row>
    <row r="145" ht="14.25" customHeight="1">
      <c r="A145" s="155"/>
      <c r="B145" s="155"/>
      <c r="C145" s="155"/>
      <c r="D145" s="155"/>
      <c r="I145" s="155"/>
      <c r="J145" s="155"/>
      <c r="L145" s="5"/>
    </row>
    <row r="146" ht="14.25" customHeight="1">
      <c r="A146" s="155"/>
      <c r="B146" s="155"/>
      <c r="C146" s="155"/>
      <c r="D146" s="155"/>
      <c r="I146" s="155"/>
      <c r="J146" s="155"/>
      <c r="L146" s="5"/>
    </row>
    <row r="147" ht="14.25" customHeight="1">
      <c r="A147" s="155"/>
      <c r="B147" s="155"/>
      <c r="C147" s="155"/>
      <c r="D147" s="155"/>
      <c r="I147" s="155"/>
      <c r="J147" s="155"/>
      <c r="L147" s="5"/>
    </row>
    <row r="148" ht="14.25" customHeight="1">
      <c r="A148" s="155"/>
      <c r="B148" s="155"/>
      <c r="C148" s="155"/>
      <c r="D148" s="155"/>
      <c r="I148" s="155"/>
      <c r="J148" s="155"/>
      <c r="L148" s="5"/>
    </row>
    <row r="149" ht="14.25" customHeight="1">
      <c r="A149" s="155"/>
      <c r="B149" s="155"/>
      <c r="C149" s="155"/>
      <c r="D149" s="155"/>
      <c r="I149" s="155"/>
      <c r="J149" s="155"/>
      <c r="L149" s="5"/>
    </row>
    <row r="150" ht="14.25" customHeight="1">
      <c r="A150" s="155"/>
      <c r="B150" s="155"/>
      <c r="C150" s="155"/>
      <c r="D150" s="155"/>
      <c r="I150" s="155"/>
      <c r="J150" s="155"/>
      <c r="L150" s="5"/>
    </row>
    <row r="151" ht="14.25" customHeight="1">
      <c r="A151" s="155"/>
      <c r="B151" s="155"/>
      <c r="C151" s="155"/>
      <c r="D151" s="155"/>
      <c r="I151" s="155"/>
      <c r="J151" s="155"/>
      <c r="L151" s="5"/>
    </row>
    <row r="152" ht="14.25" customHeight="1">
      <c r="A152" s="155"/>
      <c r="B152" s="155"/>
      <c r="C152" s="155"/>
      <c r="D152" s="155"/>
      <c r="I152" s="155"/>
      <c r="J152" s="155"/>
      <c r="L152" s="5"/>
    </row>
    <row r="153" ht="14.25" customHeight="1">
      <c r="A153" s="155"/>
      <c r="B153" s="155"/>
      <c r="C153" s="155"/>
      <c r="D153" s="155"/>
      <c r="I153" s="155"/>
      <c r="J153" s="155"/>
      <c r="L153" s="5"/>
    </row>
    <row r="154" ht="14.25" customHeight="1">
      <c r="A154" s="155"/>
      <c r="B154" s="155"/>
      <c r="C154" s="155"/>
      <c r="D154" s="155"/>
      <c r="I154" s="155"/>
      <c r="J154" s="155"/>
      <c r="L154" s="5"/>
    </row>
    <row r="155" ht="14.25" customHeight="1">
      <c r="A155" s="155"/>
      <c r="B155" s="155"/>
      <c r="C155" s="155"/>
      <c r="D155" s="155"/>
      <c r="I155" s="155"/>
      <c r="J155" s="155"/>
      <c r="L155" s="5"/>
    </row>
    <row r="156" ht="14.25" customHeight="1">
      <c r="A156" s="155"/>
      <c r="B156" s="155"/>
      <c r="C156" s="155"/>
      <c r="D156" s="155"/>
      <c r="I156" s="155"/>
      <c r="J156" s="155"/>
      <c r="L156" s="5"/>
    </row>
    <row r="157" ht="14.25" customHeight="1">
      <c r="A157" s="155"/>
      <c r="B157" s="155"/>
      <c r="C157" s="155"/>
      <c r="D157" s="155"/>
      <c r="I157" s="155"/>
      <c r="J157" s="155"/>
      <c r="L157" s="5"/>
    </row>
    <row r="158" ht="14.25" customHeight="1">
      <c r="A158" s="155"/>
      <c r="B158" s="155"/>
      <c r="C158" s="155"/>
      <c r="D158" s="155"/>
      <c r="I158" s="155"/>
      <c r="J158" s="155"/>
      <c r="L158" s="5"/>
    </row>
    <row r="159" ht="14.25" customHeight="1">
      <c r="A159" s="155"/>
      <c r="B159" s="155"/>
      <c r="C159" s="155"/>
      <c r="D159" s="155"/>
      <c r="I159" s="155"/>
      <c r="J159" s="155"/>
      <c r="L159" s="5"/>
    </row>
    <row r="160" ht="14.25" customHeight="1">
      <c r="A160" s="155"/>
      <c r="B160" s="155"/>
      <c r="C160" s="155"/>
      <c r="D160" s="155"/>
      <c r="I160" s="155"/>
      <c r="J160" s="155"/>
      <c r="L160" s="5"/>
    </row>
    <row r="161" ht="14.25" customHeight="1">
      <c r="A161" s="155"/>
      <c r="B161" s="155"/>
      <c r="C161" s="155"/>
      <c r="D161" s="155"/>
      <c r="I161" s="155"/>
      <c r="J161" s="155"/>
      <c r="L161" s="5"/>
    </row>
    <row r="162" ht="14.25" customHeight="1">
      <c r="A162" s="155"/>
      <c r="B162" s="155"/>
      <c r="C162" s="155"/>
      <c r="D162" s="155"/>
      <c r="I162" s="155"/>
      <c r="J162" s="155"/>
      <c r="L162" s="5"/>
    </row>
    <row r="163" ht="14.25" customHeight="1">
      <c r="A163" s="155"/>
      <c r="B163" s="155"/>
      <c r="C163" s="155"/>
      <c r="D163" s="155"/>
      <c r="I163" s="155"/>
      <c r="J163" s="155"/>
      <c r="L163" s="5"/>
    </row>
    <row r="164" ht="14.25" customHeight="1">
      <c r="A164" s="155"/>
      <c r="B164" s="155"/>
      <c r="C164" s="155"/>
      <c r="D164" s="155"/>
      <c r="I164" s="155"/>
      <c r="J164" s="155"/>
      <c r="L164" s="5"/>
    </row>
    <row r="165" ht="14.25" customHeight="1">
      <c r="A165" s="155"/>
      <c r="B165" s="155"/>
      <c r="C165" s="155"/>
      <c r="D165" s="155"/>
      <c r="I165" s="155"/>
      <c r="J165" s="155"/>
      <c r="L165" s="5"/>
    </row>
    <row r="166" ht="14.25" customHeight="1">
      <c r="A166" s="155"/>
      <c r="B166" s="155"/>
      <c r="C166" s="155"/>
      <c r="D166" s="155"/>
      <c r="I166" s="155"/>
      <c r="J166" s="155"/>
      <c r="L166" s="5"/>
    </row>
    <row r="167" ht="14.25" customHeight="1">
      <c r="A167" s="155"/>
      <c r="B167" s="155"/>
      <c r="C167" s="155"/>
      <c r="D167" s="155"/>
      <c r="I167" s="155"/>
      <c r="J167" s="155"/>
      <c r="L167" s="5"/>
    </row>
    <row r="168" ht="14.25" customHeight="1">
      <c r="A168" s="155"/>
      <c r="B168" s="155"/>
      <c r="C168" s="155"/>
      <c r="D168" s="155"/>
      <c r="I168" s="155"/>
      <c r="J168" s="155"/>
      <c r="L168" s="5"/>
    </row>
    <row r="169" ht="14.25" customHeight="1">
      <c r="A169" s="155"/>
      <c r="B169" s="155"/>
      <c r="C169" s="155"/>
      <c r="D169" s="155"/>
      <c r="I169" s="155"/>
      <c r="J169" s="155"/>
      <c r="L169" s="5"/>
    </row>
    <row r="170" ht="14.25" customHeight="1">
      <c r="A170" s="155"/>
      <c r="B170" s="155"/>
      <c r="C170" s="155"/>
      <c r="D170" s="155"/>
      <c r="I170" s="155"/>
      <c r="J170" s="155"/>
      <c r="L170" s="5"/>
    </row>
    <row r="171" ht="14.25" customHeight="1">
      <c r="A171" s="155"/>
      <c r="B171" s="155"/>
      <c r="C171" s="155"/>
      <c r="D171" s="155"/>
      <c r="I171" s="155"/>
      <c r="J171" s="155"/>
      <c r="L171" s="5"/>
    </row>
    <row r="172" ht="14.25" customHeight="1">
      <c r="A172" s="155"/>
      <c r="B172" s="155"/>
      <c r="C172" s="155"/>
      <c r="D172" s="155"/>
      <c r="I172" s="155"/>
      <c r="J172" s="155"/>
      <c r="L172" s="5"/>
    </row>
    <row r="173" ht="14.25" customHeight="1">
      <c r="A173" s="155"/>
      <c r="B173" s="155"/>
      <c r="C173" s="155"/>
      <c r="D173" s="155"/>
      <c r="I173" s="155"/>
      <c r="J173" s="155"/>
      <c r="L173" s="5"/>
    </row>
    <row r="174" ht="14.25" customHeight="1">
      <c r="A174" s="155"/>
      <c r="B174" s="155"/>
      <c r="C174" s="155"/>
      <c r="D174" s="155"/>
      <c r="I174" s="155"/>
      <c r="J174" s="155"/>
      <c r="L174" s="5"/>
    </row>
    <row r="175" ht="14.25" customHeight="1">
      <c r="A175" s="155"/>
      <c r="B175" s="155"/>
      <c r="C175" s="155"/>
      <c r="D175" s="155"/>
      <c r="I175" s="155"/>
      <c r="J175" s="155"/>
      <c r="L175" s="5"/>
    </row>
    <row r="176" ht="14.25" customHeight="1">
      <c r="A176" s="155"/>
      <c r="B176" s="155"/>
      <c r="C176" s="155"/>
      <c r="D176" s="155"/>
      <c r="I176" s="155"/>
      <c r="J176" s="155"/>
      <c r="L176" s="5"/>
    </row>
    <row r="177" ht="14.25" customHeight="1">
      <c r="A177" s="155"/>
      <c r="B177" s="155"/>
      <c r="C177" s="155"/>
      <c r="D177" s="155"/>
      <c r="I177" s="155"/>
      <c r="J177" s="155"/>
      <c r="L177" s="5"/>
    </row>
    <row r="178" ht="14.25" customHeight="1">
      <c r="A178" s="155"/>
      <c r="B178" s="155"/>
      <c r="C178" s="155"/>
      <c r="D178" s="155"/>
      <c r="I178" s="155"/>
      <c r="J178" s="155"/>
      <c r="L178" s="5"/>
    </row>
    <row r="179" ht="14.25" customHeight="1">
      <c r="A179" s="155"/>
      <c r="B179" s="155"/>
      <c r="C179" s="155"/>
      <c r="D179" s="155"/>
      <c r="I179" s="155"/>
      <c r="J179" s="155"/>
      <c r="L179" s="5"/>
    </row>
    <row r="180" ht="14.25" customHeight="1">
      <c r="A180" s="155"/>
      <c r="B180" s="155"/>
      <c r="C180" s="155"/>
      <c r="D180" s="155"/>
      <c r="I180" s="155"/>
      <c r="J180" s="155"/>
      <c r="L180" s="5"/>
    </row>
    <row r="181" ht="14.25" customHeight="1">
      <c r="A181" s="155"/>
      <c r="B181" s="155"/>
      <c r="C181" s="155"/>
      <c r="D181" s="155"/>
      <c r="I181" s="155"/>
      <c r="J181" s="155"/>
      <c r="L181" s="5"/>
    </row>
    <row r="182" ht="14.25" customHeight="1">
      <c r="A182" s="155"/>
      <c r="B182" s="155"/>
      <c r="C182" s="155"/>
      <c r="D182" s="155"/>
      <c r="I182" s="155"/>
      <c r="J182" s="155"/>
      <c r="L182" s="5"/>
    </row>
    <row r="183" ht="14.25" customHeight="1">
      <c r="A183" s="155"/>
      <c r="B183" s="155"/>
      <c r="C183" s="155"/>
      <c r="D183" s="155"/>
      <c r="I183" s="155"/>
      <c r="J183" s="155"/>
      <c r="L183" s="5"/>
    </row>
    <row r="184" ht="14.25" customHeight="1">
      <c r="A184" s="155"/>
      <c r="B184" s="155"/>
      <c r="C184" s="155"/>
      <c r="D184" s="155"/>
      <c r="I184" s="155"/>
      <c r="J184" s="155"/>
      <c r="L184" s="5"/>
    </row>
    <row r="185" ht="14.25" customHeight="1">
      <c r="A185" s="155"/>
      <c r="B185" s="155"/>
      <c r="C185" s="155"/>
      <c r="D185" s="155"/>
      <c r="I185" s="155"/>
      <c r="J185" s="155"/>
      <c r="L185" s="5"/>
    </row>
    <row r="186" ht="14.25" customHeight="1">
      <c r="A186" s="155"/>
      <c r="B186" s="155"/>
      <c r="C186" s="155"/>
      <c r="D186" s="155"/>
      <c r="I186" s="155"/>
      <c r="J186" s="155"/>
      <c r="L186" s="5"/>
    </row>
    <row r="187" ht="14.25" customHeight="1">
      <c r="A187" s="155"/>
      <c r="B187" s="155"/>
      <c r="C187" s="155"/>
      <c r="D187" s="155"/>
      <c r="I187" s="155"/>
      <c r="J187" s="155"/>
      <c r="L187" s="5"/>
    </row>
    <row r="188" ht="14.25" customHeight="1">
      <c r="A188" s="155"/>
      <c r="B188" s="155"/>
      <c r="C188" s="155"/>
      <c r="D188" s="155"/>
      <c r="I188" s="155"/>
      <c r="J188" s="155"/>
      <c r="L188" s="5"/>
    </row>
    <row r="189" ht="14.25" customHeight="1">
      <c r="A189" s="155"/>
      <c r="B189" s="155"/>
      <c r="C189" s="155"/>
      <c r="D189" s="155"/>
      <c r="I189" s="155"/>
      <c r="J189" s="155"/>
      <c r="L189" s="5"/>
    </row>
    <row r="190" ht="14.25" customHeight="1">
      <c r="A190" s="155"/>
      <c r="B190" s="155"/>
      <c r="C190" s="155"/>
      <c r="D190" s="155"/>
      <c r="I190" s="155"/>
      <c r="J190" s="155"/>
      <c r="L190" s="5"/>
    </row>
    <row r="191" ht="14.25" customHeight="1">
      <c r="A191" s="155"/>
      <c r="B191" s="155"/>
      <c r="C191" s="155"/>
      <c r="D191" s="155"/>
      <c r="I191" s="155"/>
      <c r="J191" s="155"/>
      <c r="L191" s="5"/>
    </row>
    <row r="192" ht="14.25" customHeight="1">
      <c r="A192" s="155"/>
      <c r="B192" s="155"/>
      <c r="C192" s="155"/>
      <c r="D192" s="155"/>
      <c r="I192" s="155"/>
      <c r="J192" s="155"/>
      <c r="L192" s="5"/>
    </row>
    <row r="193" ht="14.25" customHeight="1">
      <c r="A193" s="155"/>
      <c r="B193" s="155"/>
      <c r="C193" s="155"/>
      <c r="D193" s="155"/>
      <c r="I193" s="155"/>
      <c r="J193" s="155"/>
      <c r="L193" s="5"/>
    </row>
    <row r="194" ht="14.25" customHeight="1">
      <c r="A194" s="155"/>
      <c r="B194" s="155"/>
      <c r="C194" s="155"/>
      <c r="D194" s="155"/>
      <c r="I194" s="155"/>
      <c r="J194" s="155"/>
      <c r="L194" s="5"/>
    </row>
    <row r="195" ht="14.25" customHeight="1">
      <c r="A195" s="155"/>
      <c r="B195" s="155"/>
      <c r="C195" s="155"/>
      <c r="D195" s="155"/>
      <c r="I195" s="155"/>
      <c r="J195" s="155"/>
      <c r="L195" s="5"/>
    </row>
    <row r="196" ht="14.25" customHeight="1">
      <c r="A196" s="155"/>
      <c r="B196" s="155"/>
      <c r="C196" s="155"/>
      <c r="D196" s="155"/>
      <c r="I196" s="155"/>
      <c r="J196" s="155"/>
      <c r="L196" s="5"/>
    </row>
    <row r="197" ht="14.25" customHeight="1">
      <c r="A197" s="155"/>
      <c r="B197" s="155"/>
      <c r="C197" s="155"/>
      <c r="D197" s="155"/>
      <c r="I197" s="155"/>
      <c r="J197" s="155"/>
      <c r="L197" s="5"/>
    </row>
    <row r="198" ht="14.25" customHeight="1">
      <c r="A198" s="155"/>
      <c r="B198" s="155"/>
      <c r="C198" s="155"/>
      <c r="D198" s="155"/>
      <c r="I198" s="155"/>
      <c r="J198" s="155"/>
      <c r="L198" s="5"/>
    </row>
    <row r="199" ht="14.25" customHeight="1">
      <c r="A199" s="155"/>
      <c r="B199" s="155"/>
      <c r="C199" s="155"/>
      <c r="D199" s="155"/>
      <c r="I199" s="155"/>
      <c r="J199" s="155"/>
      <c r="L199" s="5"/>
    </row>
    <row r="200" ht="14.25" customHeight="1">
      <c r="A200" s="155"/>
      <c r="B200" s="155"/>
      <c r="C200" s="155"/>
      <c r="D200" s="155"/>
      <c r="I200" s="155"/>
      <c r="J200" s="155"/>
      <c r="L200" s="5"/>
    </row>
    <row r="201" ht="14.25" customHeight="1">
      <c r="A201" s="155"/>
      <c r="B201" s="155"/>
      <c r="C201" s="155"/>
      <c r="D201" s="155"/>
      <c r="I201" s="155"/>
      <c r="J201" s="155"/>
      <c r="L201" s="5"/>
    </row>
    <row r="202" ht="14.25" customHeight="1">
      <c r="A202" s="155"/>
      <c r="B202" s="155"/>
      <c r="C202" s="155"/>
      <c r="D202" s="155"/>
      <c r="I202" s="155"/>
      <c r="J202" s="155"/>
      <c r="L202" s="5"/>
    </row>
    <row r="203" ht="14.25" customHeight="1">
      <c r="A203" s="155"/>
      <c r="B203" s="155"/>
      <c r="C203" s="155"/>
      <c r="D203" s="155"/>
      <c r="I203" s="155"/>
      <c r="J203" s="155"/>
      <c r="L203" s="5"/>
    </row>
    <row r="204" ht="14.25" customHeight="1">
      <c r="A204" s="155"/>
      <c r="B204" s="155"/>
      <c r="C204" s="155"/>
      <c r="D204" s="155"/>
      <c r="I204" s="155"/>
      <c r="J204" s="155"/>
      <c r="L204" s="5"/>
    </row>
    <row r="205" ht="14.25" customHeight="1">
      <c r="A205" s="155"/>
      <c r="B205" s="155"/>
      <c r="C205" s="155"/>
      <c r="D205" s="155"/>
      <c r="I205" s="155"/>
      <c r="J205" s="155"/>
      <c r="L205" s="5"/>
    </row>
    <row r="206" ht="14.25" customHeight="1">
      <c r="A206" s="155"/>
      <c r="B206" s="155"/>
      <c r="C206" s="155"/>
      <c r="D206" s="155"/>
      <c r="I206" s="155"/>
      <c r="J206" s="155"/>
      <c r="L206" s="5"/>
    </row>
    <row r="207" ht="14.25" customHeight="1">
      <c r="A207" s="155"/>
      <c r="B207" s="155"/>
      <c r="C207" s="155"/>
      <c r="D207" s="155"/>
      <c r="I207" s="155"/>
      <c r="J207" s="155"/>
      <c r="L207" s="5"/>
    </row>
    <row r="208" ht="14.25" customHeight="1">
      <c r="A208" s="155"/>
      <c r="B208" s="155"/>
      <c r="C208" s="155"/>
      <c r="D208" s="155"/>
      <c r="I208" s="155"/>
      <c r="J208" s="155"/>
      <c r="L208" s="5"/>
    </row>
    <row r="209" ht="14.25" customHeight="1">
      <c r="A209" s="155"/>
      <c r="B209" s="155"/>
      <c r="C209" s="155"/>
      <c r="D209" s="155"/>
      <c r="I209" s="155"/>
      <c r="J209" s="155"/>
      <c r="L209" s="5"/>
    </row>
    <row r="210" ht="14.25" customHeight="1">
      <c r="A210" s="155"/>
      <c r="B210" s="155"/>
      <c r="C210" s="155"/>
      <c r="D210" s="155"/>
      <c r="I210" s="155"/>
      <c r="J210" s="155"/>
      <c r="L210" s="5"/>
    </row>
    <row r="211" ht="14.25" customHeight="1">
      <c r="A211" s="155"/>
      <c r="B211" s="155"/>
      <c r="C211" s="155"/>
      <c r="D211" s="155"/>
      <c r="I211" s="155"/>
      <c r="J211" s="155"/>
      <c r="L211" s="5"/>
    </row>
    <row r="212" ht="14.25" customHeight="1">
      <c r="A212" s="155"/>
      <c r="B212" s="155"/>
      <c r="C212" s="155"/>
      <c r="D212" s="155"/>
      <c r="I212" s="155"/>
      <c r="J212" s="155"/>
      <c r="L212" s="5"/>
    </row>
    <row r="213" ht="14.25" customHeight="1">
      <c r="A213" s="155"/>
      <c r="B213" s="155"/>
      <c r="C213" s="155"/>
      <c r="D213" s="155"/>
      <c r="I213" s="155"/>
      <c r="J213" s="155"/>
      <c r="L213" s="5"/>
    </row>
    <row r="214" ht="14.25" customHeight="1">
      <c r="A214" s="155"/>
      <c r="B214" s="155"/>
      <c r="C214" s="155"/>
      <c r="D214" s="155"/>
      <c r="I214" s="155"/>
      <c r="J214" s="155"/>
      <c r="L214" s="5"/>
    </row>
    <row r="215" ht="14.25" customHeight="1">
      <c r="A215" s="155"/>
      <c r="B215" s="155"/>
      <c r="C215" s="155"/>
      <c r="D215" s="155"/>
      <c r="I215" s="155"/>
      <c r="J215" s="155"/>
      <c r="L215" s="5"/>
    </row>
    <row r="216" ht="14.25" customHeight="1">
      <c r="A216" s="155"/>
      <c r="B216" s="155"/>
      <c r="C216" s="155"/>
      <c r="D216" s="155"/>
      <c r="I216" s="155"/>
      <c r="J216" s="155"/>
      <c r="L216" s="5"/>
    </row>
    <row r="217" ht="14.25" customHeight="1">
      <c r="A217" s="155"/>
      <c r="B217" s="155"/>
      <c r="C217" s="155"/>
      <c r="D217" s="155"/>
      <c r="I217" s="155"/>
      <c r="J217" s="155"/>
      <c r="L217" s="5"/>
    </row>
    <row r="218" ht="14.25" customHeight="1">
      <c r="A218" s="155"/>
      <c r="B218" s="155"/>
      <c r="C218" s="155"/>
      <c r="D218" s="155"/>
      <c r="I218" s="155"/>
      <c r="J218" s="155"/>
      <c r="L218" s="5"/>
    </row>
    <row r="219" ht="14.25" customHeight="1">
      <c r="A219" s="155"/>
      <c r="B219" s="155"/>
      <c r="C219" s="155"/>
      <c r="D219" s="155"/>
      <c r="I219" s="155"/>
      <c r="J219" s="155"/>
      <c r="L219" s="5"/>
    </row>
    <row r="220" ht="14.25" customHeight="1">
      <c r="A220" s="155"/>
      <c r="B220" s="155"/>
      <c r="C220" s="155"/>
      <c r="D220" s="155"/>
      <c r="I220" s="155"/>
      <c r="J220" s="155"/>
      <c r="L220" s="5"/>
    </row>
    <row r="221" ht="14.25" customHeight="1">
      <c r="A221" s="155"/>
      <c r="B221" s="155"/>
      <c r="C221" s="155"/>
      <c r="D221" s="155"/>
      <c r="I221" s="155"/>
      <c r="J221" s="155"/>
      <c r="L221" s="5"/>
    </row>
    <row r="222" ht="14.25" customHeight="1">
      <c r="A222" s="155"/>
      <c r="B222" s="155"/>
      <c r="C222" s="155"/>
      <c r="D222" s="155"/>
      <c r="I222" s="155"/>
      <c r="J222" s="155"/>
      <c r="L222" s="5"/>
    </row>
    <row r="223" ht="14.25" customHeight="1">
      <c r="A223" s="155"/>
      <c r="B223" s="155"/>
      <c r="C223" s="155"/>
      <c r="D223" s="155"/>
      <c r="I223" s="155"/>
      <c r="J223" s="155"/>
      <c r="L223" s="5"/>
    </row>
    <row r="224" ht="14.25" customHeight="1">
      <c r="A224" s="155"/>
      <c r="B224" s="155"/>
      <c r="C224" s="155"/>
      <c r="D224" s="155"/>
      <c r="I224" s="155"/>
      <c r="J224" s="155"/>
      <c r="L224" s="5"/>
    </row>
    <row r="225" ht="15.75" customHeight="1">
      <c r="L225" s="5"/>
    </row>
    <row r="226" ht="15.75" customHeight="1">
      <c r="L226" s="5"/>
    </row>
    <row r="227" ht="15.75" customHeight="1">
      <c r="L227" s="5"/>
    </row>
    <row r="228" ht="15.75" customHeight="1">
      <c r="L228" s="5"/>
    </row>
    <row r="229" ht="15.75" customHeight="1">
      <c r="L229" s="5"/>
    </row>
    <row r="230" ht="15.75" customHeight="1">
      <c r="L230" s="5"/>
    </row>
    <row r="231" ht="15.75" customHeight="1">
      <c r="L231" s="5"/>
    </row>
    <row r="232" ht="15.75" customHeight="1">
      <c r="L232" s="5"/>
    </row>
    <row r="233" ht="15.75" customHeight="1">
      <c r="L233" s="5"/>
    </row>
    <row r="234" ht="15.75" customHeight="1">
      <c r="L234" s="5"/>
    </row>
    <row r="235" ht="15.75" customHeight="1">
      <c r="L235" s="5"/>
    </row>
    <row r="236" ht="15.75" customHeight="1">
      <c r="L236" s="5"/>
    </row>
    <row r="237" ht="15.75" customHeight="1">
      <c r="L237" s="5"/>
    </row>
    <row r="238" ht="15.75" customHeight="1">
      <c r="L238" s="5"/>
    </row>
    <row r="239" ht="15.75" customHeight="1">
      <c r="L239" s="5"/>
    </row>
    <row r="240" ht="15.75" customHeight="1">
      <c r="L240" s="5"/>
    </row>
    <row r="241" ht="15.75" customHeight="1">
      <c r="L241" s="5"/>
    </row>
    <row r="242" ht="15.75" customHeight="1">
      <c r="L242" s="5"/>
    </row>
    <row r="243" ht="15.75" customHeight="1">
      <c r="L243" s="5"/>
    </row>
    <row r="244" ht="15.75" customHeight="1">
      <c r="L244" s="5"/>
    </row>
    <row r="245" ht="15.75" customHeight="1">
      <c r="L245" s="5"/>
    </row>
    <row r="246" ht="15.75" customHeight="1">
      <c r="L246" s="5"/>
    </row>
    <row r="247" ht="15.75" customHeight="1">
      <c r="L247" s="5"/>
    </row>
    <row r="248" ht="15.75" customHeight="1">
      <c r="L248" s="5"/>
    </row>
    <row r="249" ht="15.75" customHeight="1">
      <c r="L249" s="5"/>
    </row>
    <row r="250" ht="15.75" customHeight="1">
      <c r="L250" s="5"/>
    </row>
    <row r="251" ht="15.75" customHeight="1">
      <c r="L251" s="5"/>
    </row>
    <row r="252" ht="15.75" customHeight="1">
      <c r="L252" s="5"/>
    </row>
    <row r="253" ht="15.75" customHeight="1">
      <c r="L253" s="5"/>
    </row>
    <row r="254" ht="15.75" customHeight="1">
      <c r="L254" s="5"/>
    </row>
    <row r="255" ht="15.75" customHeight="1">
      <c r="L255" s="5"/>
    </row>
    <row r="256" ht="15.75" customHeight="1">
      <c r="L256" s="5"/>
    </row>
    <row r="257" ht="15.75" customHeight="1">
      <c r="L257" s="5"/>
    </row>
    <row r="258" ht="15.75" customHeight="1">
      <c r="L258" s="5"/>
    </row>
    <row r="259" ht="15.75" customHeight="1">
      <c r="L259" s="5"/>
    </row>
    <row r="260" ht="15.75" customHeight="1">
      <c r="L260" s="5"/>
    </row>
    <row r="261" ht="15.75" customHeight="1">
      <c r="L261" s="5"/>
    </row>
    <row r="262" ht="15.75" customHeight="1">
      <c r="L262" s="5"/>
    </row>
    <row r="263" ht="15.75" customHeight="1">
      <c r="L263" s="5"/>
    </row>
    <row r="264" ht="15.75" customHeight="1">
      <c r="L264" s="5"/>
    </row>
    <row r="265" ht="15.75" customHeight="1">
      <c r="L265" s="5"/>
    </row>
    <row r="266" ht="15.75" customHeight="1">
      <c r="L266" s="5"/>
    </row>
    <row r="267" ht="15.75" customHeight="1">
      <c r="L267" s="5"/>
    </row>
    <row r="268" ht="15.75" customHeight="1">
      <c r="L268" s="5"/>
    </row>
    <row r="269" ht="15.75" customHeight="1">
      <c r="L269" s="5"/>
    </row>
    <row r="270" ht="15.75" customHeight="1">
      <c r="L270" s="5"/>
    </row>
    <row r="271" ht="15.75" customHeight="1">
      <c r="L271" s="5"/>
    </row>
    <row r="272" ht="15.75" customHeight="1">
      <c r="L272" s="5"/>
    </row>
    <row r="273" ht="15.75" customHeight="1">
      <c r="L273" s="5"/>
    </row>
    <row r="274" ht="15.75" customHeight="1">
      <c r="L274" s="5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2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1:F71"/>
    <mergeCell ref="E72:F72"/>
    <mergeCell ref="D73:D74"/>
    <mergeCell ref="E73:F73"/>
    <mergeCell ref="E74:F74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E9"/>
    <hyperlink r:id="rId2" ref="E13"/>
    <hyperlink r:id="rId3" ref="E19"/>
    <hyperlink r:id="rId4" ref="E25"/>
    <hyperlink r:id="rId5" ref="E31"/>
    <hyperlink r:id="rId6" ref="D40"/>
    <hyperlink r:id="rId7" ref="E46"/>
    <hyperlink r:id="rId8" ref="E52"/>
    <hyperlink r:id="rId9" ref="E58"/>
    <hyperlink r:id="rId10" ref="E62"/>
    <hyperlink r:id="rId11" ref="E64"/>
    <hyperlink r:id="rId12" ref="D73"/>
  </hyperlinks>
  <printOptions/>
  <pageMargins bottom="0.39" footer="0.0" header="0.0" left="0.17" right="0.17" top="0.48"/>
  <pageSetup paperSize="9" scale="59"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14"/>
    <col customWidth="1" min="3" max="3" width="60.43"/>
  </cols>
  <sheetData>
    <row r="4">
      <c r="B4" s="4" t="s">
        <v>1</v>
      </c>
      <c r="C4" s="7" t="s">
        <v>4</v>
      </c>
    </row>
    <row r="5">
      <c r="B5" s="10" t="s">
        <v>5</v>
      </c>
      <c r="C5" s="12">
        <v>17.0</v>
      </c>
    </row>
    <row r="6">
      <c r="B6" s="14" t="s">
        <v>6</v>
      </c>
      <c r="C6" s="19" t="str">
        <f>vlookup($C$5,'Sun 3'!B:J,2,0)</f>
        <v>UNIT 3
A DAY IN THE LIFE</v>
      </c>
    </row>
    <row r="7">
      <c r="B7" s="10" t="s">
        <v>19</v>
      </c>
      <c r="C7" s="19" t="str">
        <f>vlookup($C$5,'Sun 3'!B:J,3,0)</f>
        <v>28-29</v>
      </c>
    </row>
    <row r="8">
      <c r="B8" s="24" t="s">
        <v>20</v>
      </c>
      <c r="C8" s="19" t="str">
        <f>vlookup($C$5,'Sun 3'!B:J,4,0)</f>
        <v>- Routines: get dressed/ undressed, get up, go to bed, have a shower, put on, wake up, take off, wash, catch the bus, do homework
- Sing a song activity</v>
      </c>
    </row>
    <row r="9">
      <c r="B9" s="28" t="s">
        <v>21</v>
      </c>
      <c r="C9" s="19" t="str">
        <f>vlookup($C$5,'Sun 3'!B:J,5,0)</f>
        <v>- What time does she wake up?
She wakes up at seven o'clock.
- What do you do before/after breakfast?</v>
      </c>
    </row>
    <row r="10" ht="72.75" customHeight="1">
      <c r="B10" s="30" t="s">
        <v>13</v>
      </c>
      <c r="C10" s="19" t="str">
        <f>vlookup($C$5,'Sun 3'!B:J,6,0)</f>
        <v>- Students understand the topic and remember the vocabulary.
- Students can talk aout their daily routines.
- Students can sing a song together.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